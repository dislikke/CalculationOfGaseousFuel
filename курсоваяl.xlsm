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учеба\урфу\6 семестр\теплоэнергетика и энергосбережение в металлургии\"/>
    </mc:Choice>
  </mc:AlternateContent>
  <xr:revisionPtr revIDLastSave="0" documentId="13_ncr:1_{0D41B5DD-54F8-41E3-8D11-39B9DA7370EA}" xr6:coauthVersionLast="47" xr6:coauthVersionMax="47" xr10:uidLastSave="{00000000-0000-0000-0000-000000000000}"/>
  <bookViews>
    <workbookView xWindow="11985" yWindow="2445" windowWidth="8940" windowHeight="12795" activeTab="1" xr2:uid="{00000000-000D-0000-FFFF-FFFF00000000}"/>
  </bookViews>
  <sheets>
    <sheet name="Лист1" sheetId="1" r:id="rId1"/>
    <sheet name="Лист2" sheetId="2" r:id="rId2"/>
  </sheets>
  <functionGroups builtInGroupCount="19"/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" l="1"/>
  <c r="F18" i="2"/>
  <c r="F2" i="2"/>
  <c r="F7" i="2"/>
  <c r="L37" i="1" l="1"/>
  <c r="F15" i="2"/>
  <c r="F8" i="2"/>
  <c r="O82" i="1"/>
  <c r="O71" i="1"/>
  <c r="M71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O86" i="1"/>
  <c r="N86" i="1"/>
  <c r="M86" i="1"/>
  <c r="L86" i="1"/>
  <c r="K86" i="1"/>
  <c r="J86" i="1"/>
  <c r="I86" i="1"/>
  <c r="H86" i="1"/>
  <c r="G86" i="1"/>
  <c r="F86" i="1"/>
  <c r="E86" i="1"/>
  <c r="O85" i="1"/>
  <c r="N85" i="1"/>
  <c r="M85" i="1"/>
  <c r="L85" i="1"/>
  <c r="K85" i="1"/>
  <c r="J85" i="1"/>
  <c r="I85" i="1"/>
  <c r="H85" i="1"/>
  <c r="G85" i="1"/>
  <c r="F85" i="1"/>
  <c r="E85" i="1"/>
  <c r="O84" i="1"/>
  <c r="N84" i="1"/>
  <c r="M84" i="1"/>
  <c r="L84" i="1"/>
  <c r="K84" i="1"/>
  <c r="J84" i="1"/>
  <c r="I84" i="1"/>
  <c r="H84" i="1"/>
  <c r="G84" i="1"/>
  <c r="F84" i="1"/>
  <c r="E84" i="1"/>
  <c r="O83" i="1"/>
  <c r="N83" i="1"/>
  <c r="M83" i="1"/>
  <c r="L83" i="1"/>
  <c r="K83" i="1"/>
  <c r="J83" i="1"/>
  <c r="I83" i="1"/>
  <c r="H83" i="1"/>
  <c r="G83" i="1"/>
  <c r="F83" i="1"/>
  <c r="E83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O75" i="1"/>
  <c r="N75" i="1"/>
  <c r="M75" i="1"/>
  <c r="L75" i="1"/>
  <c r="K75" i="1"/>
  <c r="J75" i="1"/>
  <c r="I75" i="1"/>
  <c r="H75" i="1"/>
  <c r="G75" i="1"/>
  <c r="F75" i="1"/>
  <c r="E75" i="1"/>
  <c r="O74" i="1"/>
  <c r="N74" i="1"/>
  <c r="M74" i="1"/>
  <c r="L74" i="1"/>
  <c r="K74" i="1"/>
  <c r="J74" i="1"/>
  <c r="I74" i="1"/>
  <c r="H74" i="1"/>
  <c r="G74" i="1"/>
  <c r="F74" i="1"/>
  <c r="E74" i="1"/>
  <c r="O73" i="1"/>
  <c r="N73" i="1"/>
  <c r="M73" i="1"/>
  <c r="L73" i="1"/>
  <c r="K73" i="1"/>
  <c r="J73" i="1"/>
  <c r="I73" i="1"/>
  <c r="H73" i="1"/>
  <c r="G73" i="1"/>
  <c r="F73" i="1"/>
  <c r="E73" i="1"/>
  <c r="O72" i="1"/>
  <c r="N72" i="1"/>
  <c r="M72" i="1"/>
  <c r="L72" i="1"/>
  <c r="K72" i="1"/>
  <c r="J72" i="1"/>
  <c r="I72" i="1"/>
  <c r="H72" i="1"/>
  <c r="G72" i="1"/>
  <c r="F72" i="1"/>
  <c r="E72" i="1"/>
  <c r="N71" i="1"/>
  <c r="L71" i="1"/>
  <c r="K71" i="1"/>
  <c r="J71" i="1"/>
  <c r="I71" i="1"/>
  <c r="H71" i="1"/>
  <c r="G71" i="1"/>
  <c r="F71" i="1"/>
  <c r="E71" i="1"/>
  <c r="D71" i="1"/>
  <c r="C71" i="1"/>
  <c r="B71" i="1"/>
  <c r="F12" i="2" l="1"/>
  <c r="F13" i="2"/>
  <c r="F3" i="2"/>
  <c r="E38" i="1"/>
  <c r="F38" i="1"/>
  <c r="G38" i="1"/>
  <c r="H38" i="1"/>
  <c r="I38" i="1"/>
  <c r="J38" i="1"/>
  <c r="K38" i="1"/>
  <c r="L38" i="1"/>
  <c r="M38" i="1"/>
  <c r="N38" i="1"/>
  <c r="O38" i="1"/>
  <c r="E39" i="1"/>
  <c r="F39" i="1"/>
  <c r="G39" i="1"/>
  <c r="H39" i="1"/>
  <c r="I39" i="1"/>
  <c r="J39" i="1"/>
  <c r="K39" i="1"/>
  <c r="L39" i="1"/>
  <c r="M39" i="1"/>
  <c r="N39" i="1"/>
  <c r="O39" i="1"/>
  <c r="E40" i="1"/>
  <c r="F40" i="1"/>
  <c r="G40" i="1"/>
  <c r="H40" i="1"/>
  <c r="I40" i="1"/>
  <c r="J40" i="1"/>
  <c r="K40" i="1"/>
  <c r="L40" i="1"/>
  <c r="M40" i="1"/>
  <c r="N40" i="1"/>
  <c r="O40" i="1"/>
  <c r="E41" i="1"/>
  <c r="F41" i="1"/>
  <c r="G41" i="1"/>
  <c r="H41" i="1"/>
  <c r="I41" i="1"/>
  <c r="J41" i="1"/>
  <c r="K41" i="1"/>
  <c r="L41" i="1"/>
  <c r="M41" i="1"/>
  <c r="N41" i="1"/>
  <c r="O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C37" i="1"/>
  <c r="D37" i="1"/>
  <c r="E37" i="1"/>
  <c r="F37" i="1"/>
  <c r="G37" i="1"/>
  <c r="H37" i="1"/>
  <c r="I37" i="1"/>
  <c r="J37" i="1"/>
  <c r="K37" i="1"/>
  <c r="M37" i="1"/>
  <c r="N37" i="1"/>
  <c r="B37" i="1"/>
  <c r="E27" i="1"/>
  <c r="F27" i="1"/>
  <c r="G27" i="1"/>
  <c r="H27" i="1"/>
  <c r="I27" i="1"/>
  <c r="J27" i="1"/>
  <c r="K27" i="1"/>
  <c r="L27" i="1"/>
  <c r="M27" i="1"/>
  <c r="N27" i="1"/>
  <c r="O27" i="1"/>
  <c r="E28" i="1"/>
  <c r="F28" i="1"/>
  <c r="G28" i="1"/>
  <c r="H28" i="1"/>
  <c r="I28" i="1"/>
  <c r="J28" i="1"/>
  <c r="K28" i="1"/>
  <c r="L28" i="1"/>
  <c r="M28" i="1"/>
  <c r="N28" i="1"/>
  <c r="O28" i="1"/>
  <c r="E29" i="1"/>
  <c r="F29" i="1"/>
  <c r="G29" i="1"/>
  <c r="H29" i="1"/>
  <c r="I29" i="1"/>
  <c r="J29" i="1"/>
  <c r="K29" i="1"/>
  <c r="L29" i="1"/>
  <c r="M29" i="1"/>
  <c r="N29" i="1"/>
  <c r="O29" i="1"/>
  <c r="E30" i="1"/>
  <c r="F30" i="1"/>
  <c r="G30" i="1"/>
  <c r="H30" i="1"/>
  <c r="I30" i="1"/>
  <c r="J30" i="1"/>
  <c r="K30" i="1"/>
  <c r="L30" i="1"/>
  <c r="M30" i="1"/>
  <c r="N30" i="1"/>
  <c r="O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C26" i="1"/>
  <c r="D26" i="1"/>
  <c r="E26" i="1"/>
  <c r="F26" i="1"/>
  <c r="G26" i="1"/>
  <c r="H26" i="1"/>
  <c r="I26" i="1"/>
  <c r="J26" i="1"/>
  <c r="K26" i="1"/>
  <c r="L26" i="1"/>
  <c r="M26" i="1"/>
  <c r="N26" i="1"/>
  <c r="B26" i="1"/>
  <c r="F22" i="2" a="1"/>
  <c r="F21" i="2" a="1"/>
  <c r="F9" i="2" l="1"/>
  <c r="F10" i="2"/>
  <c r="F16" i="2" s="1"/>
  <c r="B18" i="2"/>
  <c r="F22" i="2"/>
  <c r="F21" i="2"/>
  <c r="F4" i="2"/>
  <c r="F6" i="2" s="1"/>
  <c r="F5" i="2"/>
  <c r="F23" i="2" l="1"/>
  <c r="F24" i="2"/>
  <c r="F14" i="2"/>
  <c r="F17" i="2" s="1"/>
  <c r="F11" i="2"/>
  <c r="I13" i="2" l="1"/>
  <c r="F25" i="2"/>
  <c r="D46" i="2"/>
  <c r="C46" i="2" s="1"/>
  <c r="I7" i="2"/>
  <c r="F19" i="2"/>
  <c r="D38" i="2" s="1"/>
  <c r="C38" i="2" s="1"/>
  <c r="I9" i="2"/>
  <c r="I10" i="2"/>
  <c r="I8" i="2"/>
  <c r="I11" i="2" s="1"/>
  <c r="D48" i="2"/>
  <c r="C48" i="2" s="1"/>
  <c r="G47" i="2"/>
  <c r="F47" i="2" s="1"/>
  <c r="G46" i="2"/>
  <c r="F46" i="2" s="1"/>
  <c r="D43" i="2"/>
  <c r="C43" i="2" s="1"/>
  <c r="G64" i="2"/>
  <c r="I12" i="2"/>
  <c r="I15" i="2"/>
  <c r="I14" i="2"/>
  <c r="I16" i="2"/>
  <c r="G29" i="2" a="1"/>
  <c r="G28" i="2" a="1"/>
  <c r="G27" i="2" a="1"/>
  <c r="G26" i="2" a="1"/>
  <c r="D45" i="2" l="1"/>
  <c r="C45" i="2" s="1"/>
  <c r="G44" i="2"/>
  <c r="F44" i="2" s="1"/>
  <c r="D44" i="2"/>
  <c r="C44" i="2" s="1"/>
  <c r="G48" i="2"/>
  <c r="F48" i="2" s="1"/>
  <c r="D36" i="2"/>
  <c r="C36" i="2" s="1"/>
  <c r="G35" i="2"/>
  <c r="F35" i="2" s="1"/>
  <c r="G26" i="2"/>
  <c r="G27" i="2"/>
  <c r="G28" i="2"/>
  <c r="G29" i="2"/>
  <c r="D39" i="2"/>
  <c r="C39" i="2" s="1"/>
  <c r="D37" i="2"/>
  <c r="C37" i="2" s="1"/>
  <c r="G34" i="2"/>
  <c r="F34" i="2" s="1"/>
  <c r="D35" i="2"/>
  <c r="C35" i="2" s="1"/>
  <c r="G39" i="2"/>
  <c r="F39" i="2" s="1"/>
  <c r="G36" i="2"/>
  <c r="F36" i="2" s="1"/>
  <c r="D34" i="2"/>
  <c r="C34" i="2" s="1"/>
  <c r="G38" i="2"/>
  <c r="F38" i="2" s="1"/>
  <c r="G37" i="2"/>
  <c r="F37" i="2" s="1"/>
  <c r="G54" i="2"/>
  <c r="F54" i="2" s="1"/>
  <c r="G56" i="2"/>
  <c r="F56" i="2" s="1"/>
  <c r="D57" i="2"/>
  <c r="C57" i="2" s="1"/>
  <c r="D59" i="2"/>
  <c r="C59" i="2" s="1"/>
  <c r="D58" i="2"/>
  <c r="C58" i="2" s="1"/>
  <c r="G57" i="2"/>
  <c r="F57" i="2" s="1"/>
  <c r="D55" i="2"/>
  <c r="C55" i="2" s="1"/>
  <c r="G58" i="2"/>
  <c r="F58" i="2" s="1"/>
  <c r="G59" i="2"/>
  <c r="F59" i="2" s="1"/>
  <c r="D56" i="2"/>
  <c r="C56" i="2" s="1"/>
  <c r="D54" i="2"/>
  <c r="C54" i="2" s="1"/>
  <c r="G55" i="2"/>
  <c r="F55" i="2" s="1"/>
  <c r="G43" i="2"/>
  <c r="F43" i="2" s="1"/>
  <c r="G45" i="2"/>
  <c r="F45" i="2" s="1"/>
  <c r="D47" i="2"/>
  <c r="C47" i="2" s="1"/>
  <c r="G68" i="2"/>
  <c r="F68" i="2" s="1"/>
  <c r="G67" i="2"/>
  <c r="F67" i="2" s="1"/>
  <c r="F64" i="2"/>
  <c r="G63" i="2"/>
  <c r="F63" i="2" s="1"/>
  <c r="G66" i="2"/>
  <c r="F66" i="2" s="1"/>
  <c r="D68" i="2"/>
  <c r="C68" i="2" s="1"/>
  <c r="G65" i="2"/>
  <c r="F65" i="2" s="1"/>
  <c r="D67" i="2"/>
  <c r="C67" i="2" s="1"/>
  <c r="D66" i="2"/>
  <c r="C66" i="2" s="1"/>
  <c r="D65" i="2"/>
  <c r="C65" i="2" s="1"/>
  <c r="D64" i="2"/>
  <c r="C64" i="2" s="1"/>
  <c r="D63" i="2"/>
  <c r="C63" i="2" s="1"/>
  <c r="I17" i="2"/>
  <c r="F29" i="2" a="1"/>
  <c r="F27" i="2" a="1"/>
  <c r="F26" i="2" a="1"/>
  <c r="F28" i="2" a="1"/>
  <c r="F28" i="2" l="1"/>
  <c r="F26" i="2"/>
  <c r="F27" i="2"/>
  <c r="F2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<sst xmlns="http://schemas.openxmlformats.org/spreadsheetml/2006/main" count="186" uniqueCount="110">
  <si>
    <t>t</t>
  </si>
  <si>
    <t>ккал/м3</t>
  </si>
  <si>
    <t>кДж/м3</t>
  </si>
  <si>
    <t>Исходные данные</t>
  </si>
  <si>
    <t>tT, °C</t>
  </si>
  <si>
    <t>tВ, °C</t>
  </si>
  <si>
    <t>gс.в., г/м^3</t>
  </si>
  <si>
    <t>CO2, %</t>
  </si>
  <si>
    <t>CH4, %</t>
  </si>
  <si>
    <t>C2H6, %</t>
  </si>
  <si>
    <t>C3H8, %</t>
  </si>
  <si>
    <t>C4H10, %</t>
  </si>
  <si>
    <t>C5H12, %</t>
  </si>
  <si>
    <t>N2, %</t>
  </si>
  <si>
    <t>SO2, %</t>
  </si>
  <si>
    <t>H2S, %</t>
  </si>
  <si>
    <t>H2, %</t>
  </si>
  <si>
    <t>H2O, %</t>
  </si>
  <si>
    <t>Расчетные данные</t>
  </si>
  <si>
    <t>a</t>
  </si>
  <si>
    <t>VL</t>
  </si>
  <si>
    <t>CO, %</t>
  </si>
  <si>
    <r>
      <t>= 0,0004x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+ 1,1099x + 94,677</t>
    </r>
  </si>
  <si>
    <r>
      <t>= 0,0004x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+ 0,7324x + 348,13</t>
    </r>
  </si>
  <si>
    <r>
      <t>= 0,0003x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+ 1,0053x + 196,13</t>
    </r>
  </si>
  <si>
    <r>
      <t>= 0,0002x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+ 1,0624x + 160,12</t>
    </r>
  </si>
  <si>
    <r>
      <t>= 0,0001x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+ 1,2512x + 45,372</t>
    </r>
  </si>
  <si>
    <r>
      <t>= 8E-05x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+ 1,3387x + 1,6874</t>
    </r>
  </si>
  <si>
    <r>
      <t>= 0,0003x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+ 1,1732x + 48,842</t>
    </r>
  </si>
  <si>
    <r>
      <t>= 0,0003x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+ 0,8786x + 267,26</t>
    </r>
  </si>
  <si>
    <r>
      <t>= 0,0003x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+ 1,042x + 173,92</t>
    </r>
  </si>
  <si>
    <r>
      <t>= 0,0002x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+ 1,2683x + 40,561</t>
    </r>
  </si>
  <si>
    <r>
      <t>= 0,0001x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+ 1,3554x - 17,965</t>
    </r>
  </si>
  <si>
    <r>
      <t>= 6E-05x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+ 1,4125x - 54,78</t>
    </r>
  </si>
  <si>
    <t>дискриминант</t>
  </si>
  <si>
    <t xml:space="preserve">дискриминант </t>
  </si>
  <si>
    <t>t0 при &lt;8400</t>
  </si>
  <si>
    <t>t0 при &gt;12500</t>
  </si>
  <si>
    <t>уравнение</t>
  </si>
  <si>
    <t xml:space="preserve"> = 0,0001x2 + 1,5059x - 15,985</t>
  </si>
  <si>
    <r>
      <t>= 5E-05x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+ 1,6514x - 127,34</t>
    </r>
  </si>
  <si>
    <r>
      <t>= 3E-05x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+ 1,6632x - 148,88</t>
    </r>
  </si>
  <si>
    <r>
      <t>= 8E-05x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+ 1,4516x - 42,547</t>
    </r>
  </si>
  <si>
    <r>
      <t>= 8E-05x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+ 1,4041x - 33,996</t>
    </r>
  </si>
  <si>
    <r>
      <t>= 9E-05x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+ 1,5148x - 47,944</t>
    </r>
  </si>
  <si>
    <r>
      <t>= 8E-05x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+ 1,506x - 55,431</t>
    </r>
  </si>
  <si>
    <r>
      <t>= 6E-05x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+ 1,5319x - 82,884</t>
    </r>
  </si>
  <si>
    <r>
      <t>= 5E-05x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+ 1,5144x - 87,848</t>
    </r>
  </si>
  <si>
    <r>
      <t>= 4E-05x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+ 1,5188x - 103,03</t>
    </r>
  </si>
  <si>
    <t>температуры через интерполяцию</t>
  </si>
  <si>
    <t>для iТобщ(a=1)</t>
  </si>
  <si>
    <t>для iбобщ(a=1)</t>
  </si>
  <si>
    <t>для iТобщ</t>
  </si>
  <si>
    <t>для iбобщ</t>
  </si>
  <si>
    <t>для балансовой температуры</t>
  </si>
  <si>
    <t>при Qн &lt; 8400 кдж/м^3, теоретической температуре</t>
  </si>
  <si>
    <t>при Qн &gt; 12500 кдж/м^3, теоретической температуре</t>
  </si>
  <si>
    <t>при Qн &lt; 8400 кдж/м^3, балансовой температуре</t>
  </si>
  <si>
    <t>при Qн &gt; 12500 кдж/м^3, балансовой температуре</t>
  </si>
  <si>
    <t>O2, %</t>
  </si>
  <si>
    <t>C2H4, %</t>
  </si>
  <si>
    <t>C2H2, %</t>
  </si>
  <si>
    <t>Q3+Q4, кДж/м3</t>
  </si>
  <si>
    <t xml:space="preserve">VO2, м^3/м^3 </t>
  </si>
  <si>
    <t xml:space="preserve">V0(CO2), м^3/м^3 </t>
  </si>
  <si>
    <t xml:space="preserve">V0(SO2), м^3/м^3 </t>
  </si>
  <si>
    <t xml:space="preserve">V0(N2), м^3/м^3 </t>
  </si>
  <si>
    <t xml:space="preserve">V0(H2O), м^3/м^3 </t>
  </si>
  <si>
    <t xml:space="preserve">Va(CO2), м^3/м^3 </t>
  </si>
  <si>
    <t xml:space="preserve">Va(SO2), м^3/м^3 </t>
  </si>
  <si>
    <t xml:space="preserve">Va(N2), м^3/м^3 </t>
  </si>
  <si>
    <t xml:space="preserve">Va(H2O), м^3/м^3 </t>
  </si>
  <si>
    <t xml:space="preserve">Va(O2), м^3/м^3 </t>
  </si>
  <si>
    <t xml:space="preserve">Va, м^3/м^3 </t>
  </si>
  <si>
    <t xml:space="preserve">L0, м^3/м^3 </t>
  </si>
  <si>
    <t xml:space="preserve">L0в, м^3/м^3 </t>
  </si>
  <si>
    <t xml:space="preserve">La, м^3/м^3 </t>
  </si>
  <si>
    <t xml:space="preserve">Laв, м^3/м^3 </t>
  </si>
  <si>
    <t xml:space="preserve">V0, м^3/м^3 </t>
  </si>
  <si>
    <t>Qн, кДж/м3</t>
  </si>
  <si>
    <r>
      <t>iТобщ(</t>
    </r>
    <r>
      <rPr>
        <i/>
        <sz val="11"/>
        <color theme="1"/>
        <rFont val="Calibri"/>
        <family val="2"/>
        <charset val="204"/>
        <scheme val="minor"/>
      </rPr>
      <t>a=1)</t>
    </r>
    <r>
      <rPr>
        <sz val="11"/>
        <color theme="1"/>
        <rFont val="Calibri"/>
        <family val="2"/>
        <scheme val="minor"/>
      </rPr>
      <t>, кДж/м3</t>
    </r>
  </si>
  <si>
    <r>
      <t>iбобщ(</t>
    </r>
    <r>
      <rPr>
        <i/>
        <sz val="11"/>
        <color theme="1"/>
        <rFont val="Calibri"/>
        <family val="2"/>
        <charset val="204"/>
        <scheme val="minor"/>
      </rPr>
      <t>a=1</t>
    </r>
    <r>
      <rPr>
        <sz val="11"/>
        <color theme="1"/>
        <rFont val="Calibri"/>
        <family val="2"/>
        <scheme val="minor"/>
      </rPr>
      <t>), кДж/м3</t>
    </r>
  </si>
  <si>
    <t>cт, кДж/(м3*К)</t>
  </si>
  <si>
    <t>cв, кДж/(м3*К)</t>
  </si>
  <si>
    <t>iТобщ, кДж/м3</t>
  </si>
  <si>
    <t>iбобщ, кДж/м3</t>
  </si>
  <si>
    <t>VL, %</t>
  </si>
  <si>
    <t>t0T, °С</t>
  </si>
  <si>
    <t>t0б, °С</t>
  </si>
  <si>
    <r>
      <t>t</t>
    </r>
    <r>
      <rPr>
        <i/>
        <sz val="11"/>
        <color theme="1"/>
        <rFont val="Calibri"/>
        <family val="2"/>
        <charset val="204"/>
        <scheme val="minor"/>
      </rPr>
      <t>a</t>
    </r>
    <r>
      <rPr>
        <sz val="11"/>
        <color theme="1"/>
        <rFont val="Calibri"/>
        <family val="2"/>
        <scheme val="minor"/>
      </rPr>
      <t>T, °С</t>
    </r>
  </si>
  <si>
    <r>
      <t>t</t>
    </r>
    <r>
      <rPr>
        <i/>
        <sz val="11"/>
        <color theme="1"/>
        <rFont val="Calibri"/>
        <family val="2"/>
        <charset val="204"/>
        <scheme val="minor"/>
      </rPr>
      <t>a</t>
    </r>
    <r>
      <rPr>
        <sz val="11"/>
        <color theme="1"/>
        <rFont val="Calibri"/>
        <family val="2"/>
        <scheme val="minor"/>
      </rPr>
      <t>б, °С</t>
    </r>
  </si>
  <si>
    <t>сумма, %</t>
  </si>
  <si>
    <t>CO, кДж/(м3*К)</t>
  </si>
  <si>
    <t>SO₂, кДж/(м3*К)</t>
  </si>
  <si>
    <t>H₂S, кДж/(м3*К)</t>
  </si>
  <si>
    <t>H₂, кДж/(м3*К)</t>
  </si>
  <si>
    <t>O₂, кДж/(м3*К)</t>
  </si>
  <si>
    <t>C₂H₄, кДж/(м3*К)</t>
  </si>
  <si>
    <t>C₂H₂, кДж/(м3*К)</t>
  </si>
  <si>
    <t>CH₄, кДж/(м3*К)</t>
  </si>
  <si>
    <t>C₂H₆, кДж/(м3*К)</t>
  </si>
  <si>
    <t>C₃H₈, кДж/(м3*К)</t>
  </si>
  <si>
    <t>C₄H₁₀, кДж/(м3*К)</t>
  </si>
  <si>
    <t>C₅H₁₂, кДж/(м3*К)</t>
  </si>
  <si>
    <t>CO₂, кДж/(м3*К)</t>
  </si>
  <si>
    <t>N₂, кДж/(м3*К)</t>
  </si>
  <si>
    <t>H₂O (пар), кДж/(м3*К)</t>
  </si>
  <si>
    <t>Сухой воздух, кДж/(м3*К)</t>
  </si>
  <si>
    <t>Влажный воздух, кДж/(м3*К)</t>
  </si>
  <si>
    <t>t, 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</si>
</sst>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9"/>
      <color rgb="FF595959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1" fontId="0" fillId="0" borderId="0" xfId="0" applyNumberFormat="1"/>
    <xf numFmtId="0" fontId="0" fillId="0" borderId="1" xfId="0" applyBorder="1"/>
    <xf numFmtId="0" fontId="0" fillId="4" borderId="1" xfId="0" applyFill="1" applyBorder="1"/>
    <xf numFmtId="0" fontId="3" fillId="4" borderId="1" xfId="0" applyFont="1" applyFill="1" applyBorder="1"/>
    <xf numFmtId="0" fontId="0" fillId="0" borderId="0" xfId="0" applyAlignment="1">
      <alignment vertical="center" wrapText="1"/>
    </xf>
    <xf numFmtId="17" fontId="0" fillId="0" borderId="0" xfId="0" applyNumberFormat="1"/>
    <xf numFmtId="0" fontId="0" fillId="0" borderId="1" xfId="0" applyBorder="1" applyAlignment="1">
      <alignment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0" fillId="5" borderId="1" xfId="0" applyFill="1" applyBorder="1"/>
    <xf numFmtId="0" fontId="0" fillId="0" borderId="2" xfId="0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0" borderId="7" xfId="0" applyBorder="1"/>
    <xf numFmtId="0" fontId="0" fillId="5" borderId="9" xfId="0" applyFill="1" applyBorder="1"/>
    <xf numFmtId="0" fontId="0" fillId="0" borderId="10" xfId="0" applyBorder="1"/>
    <xf numFmtId="0" fontId="0" fillId="0" borderId="6" xfId="0" applyBorder="1"/>
    <xf numFmtId="0" fontId="0" fillId="0" borderId="8" xfId="0" applyBorder="1"/>
    <xf numFmtId="0" fontId="0" fillId="4" borderId="11" xfId="0" applyFill="1" applyBorder="1"/>
    <xf numFmtId="0" fontId="0" fillId="0" borderId="12" xfId="0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1" fontId="0" fillId="0" borderId="1" xfId="0" applyNumberFormat="1" applyBorder="1"/>
    <xf numFmtId="0" fontId="0" fillId="6" borderId="0" xfId="0" applyFill="1"/>
    <xf numFmtId="0" fontId="0" fillId="4" borderId="16" xfId="0" applyFill="1" applyBorder="1"/>
    <xf numFmtId="0" fontId="0" fillId="4" borderId="17" xfId="0" applyFill="1" applyBorder="1"/>
    <xf numFmtId="0" fontId="0" fillId="0" borderId="18" xfId="0" applyBorder="1"/>
    <xf numFmtId="0" fontId="0" fillId="0" borderId="19" xfId="0" applyBorder="1"/>
    <xf numFmtId="0" fontId="2" fillId="0" borderId="1" xfId="0" applyFont="1" applyBorder="1"/>
    <xf numFmtId="0" fontId="6" fillId="0" borderId="0" xfId="0" applyFont="1" applyAlignment="1">
      <alignment horizontal="center" vertical="center" readingOrder="1"/>
    </xf>
    <xf numFmtId="0" fontId="0" fillId="0" borderId="20" xfId="0" applyBorder="1" applyAlignment="1">
      <alignment wrapText="1"/>
    </xf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2" borderId="1" xfId="0" applyFill="1" applyBorder="1"/>
    <xf numFmtId="0" fontId="0" fillId="0" borderId="23" xfId="0" applyBorder="1"/>
    <xf numFmtId="1" fontId="0" fillId="0" borderId="23" xfId="0" applyNumberFormat="1" applyBorder="1"/>
    <xf numFmtId="0" fontId="0" fillId="0" borderId="26" xfId="0" applyBorder="1"/>
    <xf numFmtId="0" fontId="1" fillId="0" borderId="9" xfId="0" applyFont="1" applyBorder="1"/>
    <xf numFmtId="0" fontId="1" fillId="0" borderId="10" xfId="0" applyFont="1" applyBorder="1"/>
    <xf numFmtId="0" fontId="0" fillId="2" borderId="23" xfId="0" applyFill="1" applyBorder="1"/>
    <xf numFmtId="1" fontId="0" fillId="2" borderId="23" xfId="0" applyNumberFormat="1" applyFill="1" applyBorder="1"/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3" borderId="0" xfId="0" applyFill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 wrapText="1"/>
    </xf>
    <xf numFmtId="0" fontId="0" fillId="5" borderId="19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34" xfId="0" applyFill="1" applyBorder="1"/>
    <xf numFmtId="0" fontId="0" fillId="0" borderId="34" xfId="0" applyBorder="1"/>
    <xf numFmtId="0" fontId="0" fillId="0" borderId="35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при 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Q</a:t>
            </a:r>
            <a:r>
              <a:rPr lang="ru-RU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н &lt; 8400 кдж/м^3</a:t>
            </a: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68393016759456"/>
          <c:y val="0.12058111206594443"/>
          <c:w val="0.84405673598303443"/>
          <c:h val="0.73506191441263291"/>
        </c:manualLayout>
      </c:layout>
      <c:scatterChart>
        <c:scatterStyle val="lineMarker"/>
        <c:varyColors val="0"/>
        <c:ser>
          <c:idx val="6"/>
          <c:order val="0"/>
          <c:tx>
            <c:strRef>
              <c:f>Лист1!$A$26</c:f>
              <c:strCache>
                <c:ptCount val="1"/>
                <c:pt idx="0">
                  <c:v>0</c:v>
                </c:pt>
              </c:strCache>
            </c:strRef>
          </c:tx>
          <c:xVal>
            <c:numRef>
              <c:f>Лист1!$B$25:$O$25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Лист1!$B$26:$O$26</c:f>
              <c:numCache>
                <c:formatCode>0</c:formatCode>
                <c:ptCount val="14"/>
                <c:pt idx="0">
                  <c:v>159.6</c:v>
                </c:pt>
                <c:pt idx="1">
                  <c:v>462</c:v>
                </c:pt>
                <c:pt idx="2">
                  <c:v>735</c:v>
                </c:pt>
                <c:pt idx="3">
                  <c:v>915.6</c:v>
                </c:pt>
                <c:pt idx="4">
                  <c:v>1092</c:v>
                </c:pt>
                <c:pt idx="5">
                  <c:v>1415.4</c:v>
                </c:pt>
                <c:pt idx="6">
                  <c:v>1776.6</c:v>
                </c:pt>
                <c:pt idx="7">
                  <c:v>2150.4</c:v>
                </c:pt>
                <c:pt idx="8">
                  <c:v>2541</c:v>
                </c:pt>
                <c:pt idx="9">
                  <c:v>2940</c:v>
                </c:pt>
                <c:pt idx="10">
                  <c:v>3456.6</c:v>
                </c:pt>
                <c:pt idx="11">
                  <c:v>3990</c:v>
                </c:pt>
                <c:pt idx="12">
                  <c:v>4620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99F-4D8C-A6B6-5D06D3745C2E}"/>
            </c:ext>
          </c:extLst>
        </c:ser>
        <c:ser>
          <c:idx val="7"/>
          <c:order val="1"/>
          <c:tx>
            <c:strRef>
              <c:f>Лист1!$A$27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Лист1!$B$25:$O$25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Лист1!$B$27:$O$27</c:f>
              <c:numCache>
                <c:formatCode>General</c:formatCode>
                <c:ptCount val="14"/>
                <c:pt idx="3" formatCode="0">
                  <c:v>903</c:v>
                </c:pt>
                <c:pt idx="4" formatCode="0">
                  <c:v>1050</c:v>
                </c:pt>
                <c:pt idx="5" formatCode="0">
                  <c:v>1386</c:v>
                </c:pt>
                <c:pt idx="6" formatCode="0">
                  <c:v>1730.4</c:v>
                </c:pt>
                <c:pt idx="7" formatCode="0">
                  <c:v>2100</c:v>
                </c:pt>
                <c:pt idx="8" formatCode="0">
                  <c:v>2520</c:v>
                </c:pt>
                <c:pt idx="9" formatCode="0">
                  <c:v>2835</c:v>
                </c:pt>
                <c:pt idx="10" formatCode="0">
                  <c:v>3255</c:v>
                </c:pt>
                <c:pt idx="11" formatCode="0">
                  <c:v>3729.6</c:v>
                </c:pt>
                <c:pt idx="12" formatCode="0">
                  <c:v>4321.8</c:v>
                </c:pt>
                <c:pt idx="13" formatCode="0">
                  <c:v>5040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99F-4D8C-A6B6-5D06D3745C2E}"/>
            </c:ext>
          </c:extLst>
        </c:ser>
        <c:ser>
          <c:idx val="8"/>
          <c:order val="2"/>
          <c:tx>
            <c:strRef>
              <c:f>Лист1!$A$28</c:f>
              <c:strCache>
                <c:ptCount val="1"/>
                <c:pt idx="0">
                  <c:v>40</c:v>
                </c:pt>
              </c:strCache>
            </c:strRef>
          </c:tx>
          <c:xVal>
            <c:numRef>
              <c:f>Лист1!$B$25:$O$25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Лист1!$B$28:$O$28</c:f>
              <c:numCache>
                <c:formatCode>General</c:formatCode>
                <c:ptCount val="14"/>
                <c:pt idx="3" formatCode="0">
                  <c:v>890.4</c:v>
                </c:pt>
                <c:pt idx="4" formatCode="0">
                  <c:v>1041.5999999999999</c:v>
                </c:pt>
                <c:pt idx="5" formatCode="0">
                  <c:v>1365</c:v>
                </c:pt>
                <c:pt idx="6" formatCode="0">
                  <c:v>1680</c:v>
                </c:pt>
                <c:pt idx="7" formatCode="0">
                  <c:v>2011.8</c:v>
                </c:pt>
                <c:pt idx="8" formatCode="0">
                  <c:v>2415</c:v>
                </c:pt>
                <c:pt idx="9" formatCode="0">
                  <c:v>2893.8</c:v>
                </c:pt>
                <c:pt idx="10" formatCode="0">
                  <c:v>3141.6</c:v>
                </c:pt>
                <c:pt idx="11" formatCode="0">
                  <c:v>3570</c:v>
                </c:pt>
                <c:pt idx="12" formatCode="0">
                  <c:v>4090.8</c:v>
                </c:pt>
                <c:pt idx="13" formatCode="0">
                  <c:v>4695.6000000000004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99F-4D8C-A6B6-5D06D3745C2E}"/>
            </c:ext>
          </c:extLst>
        </c:ser>
        <c:ser>
          <c:idx val="9"/>
          <c:order val="3"/>
          <c:tx>
            <c:strRef>
              <c:f>Лист1!$A$29</c:f>
              <c:strCache>
                <c:ptCount val="1"/>
                <c:pt idx="0">
                  <c:v>60</c:v>
                </c:pt>
              </c:strCache>
            </c:strRef>
          </c:tx>
          <c:xVal>
            <c:numRef>
              <c:f>Лист1!$B$25:$O$25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Лист1!$B$29:$O$29</c:f>
              <c:numCache>
                <c:formatCode>General</c:formatCode>
                <c:ptCount val="14"/>
                <c:pt idx="3" formatCode="0">
                  <c:v>861</c:v>
                </c:pt>
                <c:pt idx="4" formatCode="0">
                  <c:v>1029</c:v>
                </c:pt>
                <c:pt idx="5" formatCode="0">
                  <c:v>1310.4000000000001</c:v>
                </c:pt>
                <c:pt idx="6" formatCode="0">
                  <c:v>1638</c:v>
                </c:pt>
                <c:pt idx="7" formatCode="0">
                  <c:v>1986.6</c:v>
                </c:pt>
                <c:pt idx="8" formatCode="0">
                  <c:v>2352</c:v>
                </c:pt>
                <c:pt idx="9" formatCode="0">
                  <c:v>2616.6</c:v>
                </c:pt>
                <c:pt idx="10" formatCode="0">
                  <c:v>3045</c:v>
                </c:pt>
                <c:pt idx="11" formatCode="0">
                  <c:v>3435.6</c:v>
                </c:pt>
                <c:pt idx="12" formatCode="0">
                  <c:v>3885</c:v>
                </c:pt>
                <c:pt idx="13" formatCode="0">
                  <c:v>4376.3999999999996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99F-4D8C-A6B6-5D06D3745C2E}"/>
            </c:ext>
          </c:extLst>
        </c:ser>
        <c:ser>
          <c:idx val="10"/>
          <c:order val="4"/>
          <c:tx>
            <c:strRef>
              <c:f>Лист1!$A$30</c:f>
              <c:strCache>
                <c:ptCount val="1"/>
                <c:pt idx="0">
                  <c:v>80</c:v>
                </c:pt>
              </c:strCache>
            </c:strRef>
          </c:tx>
          <c:xVal>
            <c:numRef>
              <c:f>Лист1!$B$25:$O$25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Лист1!$B$30:$O$30</c:f>
              <c:numCache>
                <c:formatCode>General</c:formatCode>
                <c:ptCount val="14"/>
                <c:pt idx="3" formatCode="0">
                  <c:v>840</c:v>
                </c:pt>
                <c:pt idx="4" formatCode="0">
                  <c:v>995.4</c:v>
                </c:pt>
                <c:pt idx="5" formatCode="0">
                  <c:v>1285.2</c:v>
                </c:pt>
                <c:pt idx="6" formatCode="0">
                  <c:v>1612.8</c:v>
                </c:pt>
                <c:pt idx="7" formatCode="0">
                  <c:v>1923.6</c:v>
                </c:pt>
                <c:pt idx="8" formatCode="0">
                  <c:v>2226</c:v>
                </c:pt>
                <c:pt idx="9" formatCode="0">
                  <c:v>2616.6</c:v>
                </c:pt>
                <c:pt idx="10" formatCode="0">
                  <c:v>2940</c:v>
                </c:pt>
                <c:pt idx="11" formatCode="0">
                  <c:v>3297</c:v>
                </c:pt>
                <c:pt idx="12" formatCode="0">
                  <c:v>3679.2</c:v>
                </c:pt>
                <c:pt idx="13" formatCode="0">
                  <c:v>4095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99F-4D8C-A6B6-5D06D3745C2E}"/>
            </c:ext>
          </c:extLst>
        </c:ser>
        <c:ser>
          <c:idx val="11"/>
          <c:order val="5"/>
          <c:tx>
            <c:strRef>
              <c:f>Лист1!$A$31</c:f>
              <c:strCache>
                <c:ptCount val="1"/>
                <c:pt idx="0">
                  <c:v>100</c:v>
                </c:pt>
              </c:strCache>
            </c:strRef>
          </c:tx>
          <c:xVal>
            <c:numRef>
              <c:f>Лист1!$B$25:$O$25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Лист1!$B$31:$O$31</c:f>
              <c:numCache>
                <c:formatCode>0</c:formatCode>
                <c:ptCount val="14"/>
                <c:pt idx="0">
                  <c:v>155.4</c:v>
                </c:pt>
                <c:pt idx="1">
                  <c:v>420</c:v>
                </c:pt>
                <c:pt idx="2">
                  <c:v>672</c:v>
                </c:pt>
                <c:pt idx="3">
                  <c:v>831.6</c:v>
                </c:pt>
                <c:pt idx="4">
                  <c:v>953.4</c:v>
                </c:pt>
                <c:pt idx="5">
                  <c:v>1260</c:v>
                </c:pt>
                <c:pt idx="6">
                  <c:v>1575</c:v>
                </c:pt>
                <c:pt idx="7">
                  <c:v>1885.8</c:v>
                </c:pt>
                <c:pt idx="8">
                  <c:v>2205</c:v>
                </c:pt>
                <c:pt idx="9">
                  <c:v>2520</c:v>
                </c:pt>
                <c:pt idx="10">
                  <c:v>2839.2</c:v>
                </c:pt>
                <c:pt idx="11">
                  <c:v>3166.8</c:v>
                </c:pt>
                <c:pt idx="12">
                  <c:v>3515.4</c:v>
                </c:pt>
                <c:pt idx="13">
                  <c:v>3834.6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C99F-4D8C-A6B6-5D06D3745C2E}"/>
            </c:ext>
          </c:extLst>
        </c:ser>
        <c:ser>
          <c:idx val="0"/>
          <c:order val="6"/>
          <c:tx>
            <c:strRef>
              <c:f>Лист1!$A$26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9997681625653996E-4"/>
                  <c:y val="-4.756631419750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Лист1!$B$25:$O$25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Лист1!$B$26:$O$26</c:f>
              <c:numCache>
                <c:formatCode>0</c:formatCode>
                <c:ptCount val="14"/>
                <c:pt idx="0">
                  <c:v>159.6</c:v>
                </c:pt>
                <c:pt idx="1">
                  <c:v>462</c:v>
                </c:pt>
                <c:pt idx="2">
                  <c:v>735</c:v>
                </c:pt>
                <c:pt idx="3">
                  <c:v>915.6</c:v>
                </c:pt>
                <c:pt idx="4">
                  <c:v>1092</c:v>
                </c:pt>
                <c:pt idx="5">
                  <c:v>1415.4</c:v>
                </c:pt>
                <c:pt idx="6">
                  <c:v>1776.6</c:v>
                </c:pt>
                <c:pt idx="7">
                  <c:v>2150.4</c:v>
                </c:pt>
                <c:pt idx="8">
                  <c:v>2541</c:v>
                </c:pt>
                <c:pt idx="9">
                  <c:v>2940</c:v>
                </c:pt>
                <c:pt idx="10">
                  <c:v>3456.6</c:v>
                </c:pt>
                <c:pt idx="11">
                  <c:v>3990</c:v>
                </c:pt>
                <c:pt idx="12">
                  <c:v>4620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99F-4D8C-A6B6-5D06D3745C2E}"/>
            </c:ext>
          </c:extLst>
        </c:ser>
        <c:ser>
          <c:idx val="1"/>
          <c:order val="7"/>
          <c:tx>
            <c:strRef>
              <c:f>Лист1!$A$27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2.5647325594308251E-2"/>
                  <c:y val="-2.07301223799361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Лист1!$B$25:$O$25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Лист1!$B$27:$O$27</c:f>
              <c:numCache>
                <c:formatCode>General</c:formatCode>
                <c:ptCount val="14"/>
                <c:pt idx="3" formatCode="0">
                  <c:v>903</c:v>
                </c:pt>
                <c:pt idx="4" formatCode="0">
                  <c:v>1050</c:v>
                </c:pt>
                <c:pt idx="5" formatCode="0">
                  <c:v>1386</c:v>
                </c:pt>
                <c:pt idx="6" formatCode="0">
                  <c:v>1730.4</c:v>
                </c:pt>
                <c:pt idx="7" formatCode="0">
                  <c:v>2100</c:v>
                </c:pt>
                <c:pt idx="8" formatCode="0">
                  <c:v>2520</c:v>
                </c:pt>
                <c:pt idx="9" formatCode="0">
                  <c:v>2835</c:v>
                </c:pt>
                <c:pt idx="10" formatCode="0">
                  <c:v>3255</c:v>
                </c:pt>
                <c:pt idx="11" formatCode="0">
                  <c:v>3729.6</c:v>
                </c:pt>
                <c:pt idx="12" formatCode="0">
                  <c:v>4321.8</c:v>
                </c:pt>
                <c:pt idx="13" formatCode="0">
                  <c:v>5040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99F-4D8C-A6B6-5D06D3745C2E}"/>
            </c:ext>
          </c:extLst>
        </c:ser>
        <c:ser>
          <c:idx val="2"/>
          <c:order val="8"/>
          <c:tx>
            <c:strRef>
              <c:f>Лист1!$A$28</c:f>
              <c:strCache>
                <c:ptCount val="1"/>
                <c:pt idx="0">
                  <c:v>40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6.5463961159556799E-2"/>
                  <c:y val="-1.64454038855316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Лист1!$B$25:$O$25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Лист1!$B$28:$O$28</c:f>
              <c:numCache>
                <c:formatCode>General</c:formatCode>
                <c:ptCount val="14"/>
                <c:pt idx="3" formatCode="0">
                  <c:v>890.4</c:v>
                </c:pt>
                <c:pt idx="4" formatCode="0">
                  <c:v>1041.5999999999999</c:v>
                </c:pt>
                <c:pt idx="5" formatCode="0">
                  <c:v>1365</c:v>
                </c:pt>
                <c:pt idx="6" formatCode="0">
                  <c:v>1680</c:v>
                </c:pt>
                <c:pt idx="7" formatCode="0">
                  <c:v>2011.8</c:v>
                </c:pt>
                <c:pt idx="8" formatCode="0">
                  <c:v>2415</c:v>
                </c:pt>
                <c:pt idx="9" formatCode="0">
                  <c:v>2893.8</c:v>
                </c:pt>
                <c:pt idx="10" formatCode="0">
                  <c:v>3141.6</c:v>
                </c:pt>
                <c:pt idx="11" formatCode="0">
                  <c:v>3570</c:v>
                </c:pt>
                <c:pt idx="12" formatCode="0">
                  <c:v>4090.8</c:v>
                </c:pt>
                <c:pt idx="13" formatCode="0">
                  <c:v>4695.6000000000004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99F-4D8C-A6B6-5D06D3745C2E}"/>
            </c:ext>
          </c:extLst>
        </c:ser>
        <c:ser>
          <c:idx val="3"/>
          <c:order val="9"/>
          <c:tx>
            <c:strRef>
              <c:f>Лист1!$A$29</c:f>
              <c:strCache>
                <c:ptCount val="1"/>
                <c:pt idx="0">
                  <c:v>60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6.7559573557727765E-2"/>
                  <c:y val="-8.5167035672623747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Лист1!$B$25:$O$25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Лист1!$B$29:$O$29</c:f>
              <c:numCache>
                <c:formatCode>General</c:formatCode>
                <c:ptCount val="14"/>
                <c:pt idx="3" formatCode="0">
                  <c:v>861</c:v>
                </c:pt>
                <c:pt idx="4" formatCode="0">
                  <c:v>1029</c:v>
                </c:pt>
                <c:pt idx="5" formatCode="0">
                  <c:v>1310.4000000000001</c:v>
                </c:pt>
                <c:pt idx="6" formatCode="0">
                  <c:v>1638</c:v>
                </c:pt>
                <c:pt idx="7" formatCode="0">
                  <c:v>1986.6</c:v>
                </c:pt>
                <c:pt idx="8" formatCode="0">
                  <c:v>2352</c:v>
                </c:pt>
                <c:pt idx="9" formatCode="0">
                  <c:v>2616.6</c:v>
                </c:pt>
                <c:pt idx="10" formatCode="0">
                  <c:v>3045</c:v>
                </c:pt>
                <c:pt idx="11" formatCode="0">
                  <c:v>3435.6</c:v>
                </c:pt>
                <c:pt idx="12" formatCode="0">
                  <c:v>3885</c:v>
                </c:pt>
                <c:pt idx="13" formatCode="0">
                  <c:v>4376.3999999999996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99F-4D8C-A6B6-5D06D3745C2E}"/>
            </c:ext>
          </c:extLst>
        </c:ser>
        <c:ser>
          <c:idx val="4"/>
          <c:order val="10"/>
          <c:tx>
            <c:strRef>
              <c:f>Лист1!$A$30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0947182152114729"/>
                  <c:y val="4.9689730370943786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Лист1!$B$25:$O$25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Лист1!$B$30:$O$30</c:f>
              <c:numCache>
                <c:formatCode>General</c:formatCode>
                <c:ptCount val="14"/>
                <c:pt idx="3" formatCode="0">
                  <c:v>840</c:v>
                </c:pt>
                <c:pt idx="4" formatCode="0">
                  <c:v>995.4</c:v>
                </c:pt>
                <c:pt idx="5" formatCode="0">
                  <c:v>1285.2</c:v>
                </c:pt>
                <c:pt idx="6" formatCode="0">
                  <c:v>1612.8</c:v>
                </c:pt>
                <c:pt idx="7" formatCode="0">
                  <c:v>1923.6</c:v>
                </c:pt>
                <c:pt idx="8" formatCode="0">
                  <c:v>2226</c:v>
                </c:pt>
                <c:pt idx="9" formatCode="0">
                  <c:v>2616.6</c:v>
                </c:pt>
                <c:pt idx="10" formatCode="0">
                  <c:v>2940</c:v>
                </c:pt>
                <c:pt idx="11" formatCode="0">
                  <c:v>3297</c:v>
                </c:pt>
                <c:pt idx="12" formatCode="0">
                  <c:v>3679.2</c:v>
                </c:pt>
                <c:pt idx="13" formatCode="0">
                  <c:v>4095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99F-4D8C-A6B6-5D06D3745C2E}"/>
            </c:ext>
          </c:extLst>
        </c:ser>
        <c:ser>
          <c:idx val="5"/>
          <c:order val="11"/>
          <c:tx>
            <c:strRef>
              <c:f>Лист1!$A$31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5393032105276966"/>
                  <c:y val="1.931399962267444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Лист1!$B$25:$O$25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Лист1!$B$31:$O$31</c:f>
              <c:numCache>
                <c:formatCode>0</c:formatCode>
                <c:ptCount val="14"/>
                <c:pt idx="0">
                  <c:v>155.4</c:v>
                </c:pt>
                <c:pt idx="1">
                  <c:v>420</c:v>
                </c:pt>
                <c:pt idx="2">
                  <c:v>672</c:v>
                </c:pt>
                <c:pt idx="3">
                  <c:v>831.6</c:v>
                </c:pt>
                <c:pt idx="4">
                  <c:v>953.4</c:v>
                </c:pt>
                <c:pt idx="5">
                  <c:v>1260</c:v>
                </c:pt>
                <c:pt idx="6">
                  <c:v>1575</c:v>
                </c:pt>
                <c:pt idx="7">
                  <c:v>1885.8</c:v>
                </c:pt>
                <c:pt idx="8">
                  <c:v>2205</c:v>
                </c:pt>
                <c:pt idx="9">
                  <c:v>2520</c:v>
                </c:pt>
                <c:pt idx="10">
                  <c:v>2839.2</c:v>
                </c:pt>
                <c:pt idx="11">
                  <c:v>3166.8</c:v>
                </c:pt>
                <c:pt idx="12">
                  <c:v>3515.4</c:v>
                </c:pt>
                <c:pt idx="13">
                  <c:v>3834.6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99F-4D8C-A6B6-5D06D3745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816368"/>
        <c:axId val="1987795248"/>
      </c:scatterChart>
      <c:valAx>
        <c:axId val="198781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795248"/>
        <c:crosses val="autoZero"/>
        <c:crossBetween val="midCat"/>
      </c:valAx>
      <c:valAx>
        <c:axId val="198779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Теплосодержание смесей газов, кДж/м3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81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при 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Q</a:t>
            </a:r>
            <a:r>
              <a:rPr lang="ru-RU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н &gt; 12500 кдж/м^3</a:t>
            </a: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40347932750683"/>
          <c:y val="0.1298802673910622"/>
          <c:w val="0.84334572398274421"/>
          <c:h val="0.71463002116496654"/>
        </c:manualLayout>
      </c:layout>
      <c:scatterChart>
        <c:scatterStyle val="lineMarker"/>
        <c:varyColors val="0"/>
        <c:ser>
          <c:idx val="0"/>
          <c:order val="0"/>
          <c:tx>
            <c:strRef>
              <c:f>Лист1!$A$37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1.8033326288482497E-2"/>
                  <c:y val="-5.859271170756832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Лист1!$B$36:$O$36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Лист1!$B$37:$O$37</c:f>
              <c:numCache>
                <c:formatCode>0</c:formatCode>
                <c:ptCount val="14"/>
                <c:pt idx="0">
                  <c:v>109.2</c:v>
                </c:pt>
                <c:pt idx="1">
                  <c:v>420</c:v>
                </c:pt>
                <c:pt idx="2">
                  <c:v>735</c:v>
                </c:pt>
                <c:pt idx="3">
                  <c:v>890.4</c:v>
                </c:pt>
                <c:pt idx="4">
                  <c:v>1050</c:v>
                </c:pt>
                <c:pt idx="5">
                  <c:v>1386</c:v>
                </c:pt>
                <c:pt idx="6">
                  <c:v>1730.4</c:v>
                </c:pt>
                <c:pt idx="7">
                  <c:v>2058</c:v>
                </c:pt>
                <c:pt idx="8">
                  <c:v>2436</c:v>
                </c:pt>
                <c:pt idx="9">
                  <c:v>2856</c:v>
                </c:pt>
                <c:pt idx="10">
                  <c:v>3297</c:v>
                </c:pt>
                <c:pt idx="11">
                  <c:v>3780</c:v>
                </c:pt>
                <c:pt idx="12">
                  <c:v>4410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1F1-49AC-8FFF-D81AE62C0FE4}"/>
            </c:ext>
          </c:extLst>
        </c:ser>
        <c:ser>
          <c:idx val="1"/>
          <c:order val="1"/>
          <c:tx>
            <c:strRef>
              <c:f>Лист1!$A$38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1550482105861465E-2"/>
                  <c:y val="-1.924048546586310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Лист1!$B$36:$O$36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Лист1!$B$38:$O$38</c:f>
              <c:numCache>
                <c:formatCode>General</c:formatCode>
                <c:ptCount val="14"/>
                <c:pt idx="3" formatCode="0">
                  <c:v>882</c:v>
                </c:pt>
                <c:pt idx="4" formatCode="0">
                  <c:v>1033.2</c:v>
                </c:pt>
                <c:pt idx="5" formatCode="0">
                  <c:v>1365</c:v>
                </c:pt>
                <c:pt idx="6" formatCode="0">
                  <c:v>1705.2</c:v>
                </c:pt>
                <c:pt idx="7" formatCode="0">
                  <c:v>2016</c:v>
                </c:pt>
                <c:pt idx="8" formatCode="0">
                  <c:v>2394</c:v>
                </c:pt>
                <c:pt idx="9" formatCode="0">
                  <c:v>2755.2</c:v>
                </c:pt>
                <c:pt idx="10" formatCode="0">
                  <c:v>3150</c:v>
                </c:pt>
                <c:pt idx="11" formatCode="0">
                  <c:v>3570</c:v>
                </c:pt>
                <c:pt idx="12" formatCode="0">
                  <c:v>4095</c:v>
                </c:pt>
                <c:pt idx="13" formatCode="0">
                  <c:v>4704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1F1-49AC-8FFF-D81AE62C0FE4}"/>
            </c:ext>
          </c:extLst>
        </c:ser>
        <c:ser>
          <c:idx val="2"/>
          <c:order val="2"/>
          <c:tx>
            <c:strRef>
              <c:f>Лист1!$A$39</c:f>
              <c:strCache>
                <c:ptCount val="1"/>
                <c:pt idx="0">
                  <c:v>40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7.4107476038865028E-2"/>
                  <c:y val="-1.017402027005538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Лист1!$B$36:$O$36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Лист1!$B$39:$O$39</c:f>
              <c:numCache>
                <c:formatCode>General</c:formatCode>
                <c:ptCount val="14"/>
                <c:pt idx="3" formatCode="0">
                  <c:v>861</c:v>
                </c:pt>
                <c:pt idx="4" formatCode="0">
                  <c:v>1016.4</c:v>
                </c:pt>
                <c:pt idx="5" formatCode="0">
                  <c:v>1339.8</c:v>
                </c:pt>
                <c:pt idx="6" formatCode="0">
                  <c:v>1680</c:v>
                </c:pt>
                <c:pt idx="7" formatCode="0">
                  <c:v>1995</c:v>
                </c:pt>
                <c:pt idx="8" formatCode="0">
                  <c:v>2331</c:v>
                </c:pt>
                <c:pt idx="9" formatCode="0">
                  <c:v>2688</c:v>
                </c:pt>
                <c:pt idx="10" formatCode="0">
                  <c:v>3045</c:v>
                </c:pt>
                <c:pt idx="11" formatCode="0">
                  <c:v>3465</c:v>
                </c:pt>
                <c:pt idx="12" formatCode="0">
                  <c:v>3927</c:v>
                </c:pt>
                <c:pt idx="13" formatCode="0">
                  <c:v>4452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1F1-49AC-8FFF-D81AE62C0FE4}"/>
            </c:ext>
          </c:extLst>
        </c:ser>
        <c:ser>
          <c:idx val="3"/>
          <c:order val="3"/>
          <c:tx>
            <c:strRef>
              <c:f>Лист1!$A$40</c:f>
              <c:strCache>
                <c:ptCount val="1"/>
                <c:pt idx="0">
                  <c:v>60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0013633237090643"/>
                  <c:y val="6.3325602110355624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Лист1!$B$36:$O$36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Лист1!$B$40:$O$40</c:f>
              <c:numCache>
                <c:formatCode>General</c:formatCode>
                <c:ptCount val="14"/>
                <c:pt idx="3" formatCode="0">
                  <c:v>844.2</c:v>
                </c:pt>
                <c:pt idx="4" formatCode="0">
                  <c:v>999.6</c:v>
                </c:pt>
                <c:pt idx="5" formatCode="0">
                  <c:v>1310.4000000000001</c:v>
                </c:pt>
                <c:pt idx="6" formatCode="0">
                  <c:v>1629.6</c:v>
                </c:pt>
                <c:pt idx="7" formatCode="0">
                  <c:v>1974</c:v>
                </c:pt>
                <c:pt idx="8" formatCode="0">
                  <c:v>2289</c:v>
                </c:pt>
                <c:pt idx="9" formatCode="0">
                  <c:v>2625</c:v>
                </c:pt>
                <c:pt idx="10" formatCode="0">
                  <c:v>3003</c:v>
                </c:pt>
                <c:pt idx="11" formatCode="0">
                  <c:v>3360</c:v>
                </c:pt>
                <c:pt idx="12" formatCode="0">
                  <c:v>3738</c:v>
                </c:pt>
                <c:pt idx="13" formatCode="0">
                  <c:v>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1F1-49AC-8FFF-D81AE62C0FE4}"/>
            </c:ext>
          </c:extLst>
        </c:ser>
        <c:ser>
          <c:idx val="4"/>
          <c:order val="4"/>
          <c:tx>
            <c:strRef>
              <c:f>Лист1!$A$41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1839201940779855"/>
                  <c:y val="3.858550421963273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Лист1!$B$36:$O$36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Лист1!$B$41:$O$41</c:f>
              <c:numCache>
                <c:formatCode>General</c:formatCode>
                <c:ptCount val="14"/>
                <c:pt idx="3" formatCode="0">
                  <c:v>840</c:v>
                </c:pt>
                <c:pt idx="4" formatCode="0">
                  <c:v>974.4</c:v>
                </c:pt>
                <c:pt idx="5" formatCode="0">
                  <c:v>1285.2</c:v>
                </c:pt>
                <c:pt idx="6" formatCode="0">
                  <c:v>1600.2</c:v>
                </c:pt>
                <c:pt idx="7" formatCode="0">
                  <c:v>1911</c:v>
                </c:pt>
                <c:pt idx="8" formatCode="0">
                  <c:v>2259.6</c:v>
                </c:pt>
                <c:pt idx="9" formatCode="0">
                  <c:v>2604</c:v>
                </c:pt>
                <c:pt idx="10" formatCode="0">
                  <c:v>2940</c:v>
                </c:pt>
                <c:pt idx="11" formatCode="0">
                  <c:v>3263.4</c:v>
                </c:pt>
                <c:pt idx="12" formatCode="0">
                  <c:v>3654</c:v>
                </c:pt>
                <c:pt idx="13" formatCode="0">
                  <c:v>4032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1F1-49AC-8FFF-D81AE62C0FE4}"/>
            </c:ext>
          </c:extLst>
        </c:ser>
        <c:ser>
          <c:idx val="5"/>
          <c:order val="5"/>
          <c:tx>
            <c:strRef>
              <c:f>Лист1!$A$42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8069187648534324"/>
                  <c:y val="6.399207095653212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Лист1!$B$36:$O$36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Лист1!$B$42:$O$42</c:f>
              <c:numCache>
                <c:formatCode>0</c:formatCode>
                <c:ptCount val="14"/>
                <c:pt idx="0">
                  <c:v>105</c:v>
                </c:pt>
                <c:pt idx="1">
                  <c:v>378</c:v>
                </c:pt>
                <c:pt idx="2">
                  <c:v>655.20000000000005</c:v>
                </c:pt>
                <c:pt idx="3">
                  <c:v>806.4</c:v>
                </c:pt>
                <c:pt idx="4">
                  <c:v>945</c:v>
                </c:pt>
                <c:pt idx="5">
                  <c:v>1260</c:v>
                </c:pt>
                <c:pt idx="6">
                  <c:v>1575</c:v>
                </c:pt>
                <c:pt idx="7">
                  <c:v>1890</c:v>
                </c:pt>
                <c:pt idx="8">
                  <c:v>2205</c:v>
                </c:pt>
                <c:pt idx="9">
                  <c:v>2532.6</c:v>
                </c:pt>
                <c:pt idx="10">
                  <c:v>2847.6</c:v>
                </c:pt>
                <c:pt idx="11">
                  <c:v>3183.6</c:v>
                </c:pt>
                <c:pt idx="12">
                  <c:v>3519.6</c:v>
                </c:pt>
                <c:pt idx="13">
                  <c:v>3838.8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1F1-49AC-8FFF-D81AE62C0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816368"/>
        <c:axId val="1987795248"/>
      </c:scatterChart>
      <c:valAx>
        <c:axId val="198781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795248"/>
        <c:crosses val="autoZero"/>
        <c:crossBetween val="midCat"/>
      </c:valAx>
      <c:valAx>
        <c:axId val="198779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Теплосодержание смесей газов, кДж/м3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81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Теплосодержание дымовых газов, Дж/м3</a:t>
            </a: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Лист1!$A$71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0457953261096243E-3"/>
                  <c:y val="-4.818426766421639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Лист1!$B$70:$O$70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Лист1!$B$71:$O$71</c:f>
              <c:numCache>
                <c:formatCode>0</c:formatCode>
                <c:ptCount val="14"/>
                <c:pt idx="0">
                  <c:v>159.6</c:v>
                </c:pt>
                <c:pt idx="1">
                  <c:v>462</c:v>
                </c:pt>
                <c:pt idx="2">
                  <c:v>735</c:v>
                </c:pt>
                <c:pt idx="3">
                  <c:v>915.6</c:v>
                </c:pt>
                <c:pt idx="4">
                  <c:v>1092</c:v>
                </c:pt>
                <c:pt idx="5">
                  <c:v>1415.4</c:v>
                </c:pt>
                <c:pt idx="6">
                  <c:v>1776.6</c:v>
                </c:pt>
                <c:pt idx="7">
                  <c:v>2150.4</c:v>
                </c:pt>
                <c:pt idx="8">
                  <c:v>2541</c:v>
                </c:pt>
                <c:pt idx="9">
                  <c:v>2885.4</c:v>
                </c:pt>
                <c:pt idx="10">
                  <c:v>3276</c:v>
                </c:pt>
                <c:pt idx="11">
                  <c:v>3679.2</c:v>
                </c:pt>
                <c:pt idx="12">
                  <c:v>4090.8</c:v>
                </c:pt>
                <c:pt idx="13">
                  <c:v>4460.3999999999996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CD7-4411-A0CF-AD1482EF88E7}"/>
            </c:ext>
          </c:extLst>
        </c:ser>
        <c:ser>
          <c:idx val="1"/>
          <c:order val="1"/>
          <c:tx>
            <c:strRef>
              <c:f>Лист1!$A$72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3.0000291290289836E-2"/>
                  <c:y val="-2.723022994218745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Лист1!$B$70:$O$70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Лист1!$B$72:$O$72</c:f>
              <c:numCache>
                <c:formatCode>General</c:formatCode>
                <c:ptCount val="14"/>
                <c:pt idx="3" formatCode="0">
                  <c:v>903</c:v>
                </c:pt>
                <c:pt idx="4" formatCode="0">
                  <c:v>1050</c:v>
                </c:pt>
                <c:pt idx="5" formatCode="0">
                  <c:v>1386</c:v>
                </c:pt>
                <c:pt idx="6" formatCode="0">
                  <c:v>1730.4</c:v>
                </c:pt>
                <c:pt idx="7" formatCode="0">
                  <c:v>2100</c:v>
                </c:pt>
                <c:pt idx="8" formatCode="0">
                  <c:v>2520</c:v>
                </c:pt>
                <c:pt idx="9" formatCode="0">
                  <c:v>2835</c:v>
                </c:pt>
                <c:pt idx="10" formatCode="0">
                  <c:v>3204.6</c:v>
                </c:pt>
                <c:pt idx="11" formatCode="0">
                  <c:v>3570</c:v>
                </c:pt>
                <c:pt idx="12" formatCode="0">
                  <c:v>3939.6</c:v>
                </c:pt>
                <c:pt idx="13" formatCode="0">
                  <c:v>4347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CD7-4411-A0CF-AD1482EF88E7}"/>
            </c:ext>
          </c:extLst>
        </c:ser>
        <c:ser>
          <c:idx val="2"/>
          <c:order val="2"/>
          <c:tx>
            <c:strRef>
              <c:f>Лист1!$A$73</c:f>
              <c:strCache>
                <c:ptCount val="1"/>
                <c:pt idx="0">
                  <c:v>40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9.1357756748448218E-2"/>
                  <c:y val="-1.8395320146701369E-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Лист1!$B$70:$O$70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Лист1!$B$73:$O$73</c:f>
              <c:numCache>
                <c:formatCode>General</c:formatCode>
                <c:ptCount val="14"/>
                <c:pt idx="3" formatCode="0">
                  <c:v>890.4</c:v>
                </c:pt>
                <c:pt idx="4" formatCode="0">
                  <c:v>1041.5999999999999</c:v>
                </c:pt>
                <c:pt idx="5" formatCode="0">
                  <c:v>1365</c:v>
                </c:pt>
                <c:pt idx="6" formatCode="0">
                  <c:v>1680</c:v>
                </c:pt>
                <c:pt idx="7" formatCode="0">
                  <c:v>2011.8</c:v>
                </c:pt>
                <c:pt idx="8" formatCode="0">
                  <c:v>2415</c:v>
                </c:pt>
                <c:pt idx="9" formatCode="0">
                  <c:v>2893.8</c:v>
                </c:pt>
                <c:pt idx="10" formatCode="0">
                  <c:v>3137.4</c:v>
                </c:pt>
                <c:pt idx="11" formatCode="0">
                  <c:v>3473.4</c:v>
                </c:pt>
                <c:pt idx="12" formatCode="0">
                  <c:v>3864</c:v>
                </c:pt>
                <c:pt idx="13" formatCode="0">
                  <c:v>4208.3999999999996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CD7-4411-A0CF-AD1482EF88E7}"/>
            </c:ext>
          </c:extLst>
        </c:ser>
        <c:ser>
          <c:idx val="3"/>
          <c:order val="3"/>
          <c:tx>
            <c:strRef>
              <c:f>Лист1!$A$74</c:f>
              <c:strCache>
                <c:ptCount val="1"/>
                <c:pt idx="0">
                  <c:v>60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1364612909179563"/>
                  <c:y val="3.472051167290500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Лист1!$B$70:$O$70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Лист1!$B$74:$O$74</c:f>
              <c:numCache>
                <c:formatCode>General</c:formatCode>
                <c:ptCount val="14"/>
                <c:pt idx="3" formatCode="0">
                  <c:v>861</c:v>
                </c:pt>
                <c:pt idx="4" formatCode="0">
                  <c:v>1029</c:v>
                </c:pt>
                <c:pt idx="5" formatCode="0">
                  <c:v>1310.4000000000001</c:v>
                </c:pt>
                <c:pt idx="6" formatCode="0">
                  <c:v>1638</c:v>
                </c:pt>
                <c:pt idx="7" formatCode="0">
                  <c:v>1986.6</c:v>
                </c:pt>
                <c:pt idx="8" formatCode="0">
                  <c:v>2352</c:v>
                </c:pt>
                <c:pt idx="9" formatCode="0">
                  <c:v>2616.6</c:v>
                </c:pt>
                <c:pt idx="10" formatCode="0">
                  <c:v>3045</c:v>
                </c:pt>
                <c:pt idx="11" formatCode="0">
                  <c:v>3368.4</c:v>
                </c:pt>
                <c:pt idx="12" formatCode="0">
                  <c:v>3725.4</c:v>
                </c:pt>
                <c:pt idx="13" formatCode="0">
                  <c:v>4095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CD7-4411-A0CF-AD1482EF88E7}"/>
            </c:ext>
          </c:extLst>
        </c:ser>
        <c:ser>
          <c:idx val="4"/>
          <c:order val="4"/>
          <c:tx>
            <c:strRef>
              <c:f>Лист1!$A$75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8236861048378344"/>
                  <c:y val="6.77047357205672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Лист1!$B$70:$O$70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Лист1!$B$75:$O$75</c:f>
              <c:numCache>
                <c:formatCode>General</c:formatCode>
                <c:ptCount val="14"/>
                <c:pt idx="3" formatCode="0">
                  <c:v>840</c:v>
                </c:pt>
                <c:pt idx="4" formatCode="0">
                  <c:v>995.4</c:v>
                </c:pt>
                <c:pt idx="5" formatCode="0">
                  <c:v>1285.2</c:v>
                </c:pt>
                <c:pt idx="6" formatCode="0">
                  <c:v>1612.8</c:v>
                </c:pt>
                <c:pt idx="7" formatCode="0">
                  <c:v>1923.6</c:v>
                </c:pt>
                <c:pt idx="8" formatCode="0">
                  <c:v>2226</c:v>
                </c:pt>
                <c:pt idx="9" formatCode="0">
                  <c:v>2616.6</c:v>
                </c:pt>
                <c:pt idx="10" formatCode="0">
                  <c:v>2940</c:v>
                </c:pt>
                <c:pt idx="11" formatCode="0">
                  <c:v>3263.4</c:v>
                </c:pt>
                <c:pt idx="12" formatCode="0">
                  <c:v>3620.4</c:v>
                </c:pt>
                <c:pt idx="13" formatCode="0">
                  <c:v>3981.6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CD7-4411-A0CF-AD1482EF88E7}"/>
            </c:ext>
          </c:extLst>
        </c:ser>
        <c:ser>
          <c:idx val="5"/>
          <c:order val="5"/>
          <c:tx>
            <c:strRef>
              <c:f>Лист1!$A$76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26088861576045325"/>
                  <c:y val="0.115149463286399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Лист1!$B$70:$O$70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Лист1!$B$76:$O$76</c:f>
              <c:numCache>
                <c:formatCode>0</c:formatCode>
                <c:ptCount val="14"/>
                <c:pt idx="0">
                  <c:v>155.4</c:v>
                </c:pt>
                <c:pt idx="1">
                  <c:v>420</c:v>
                </c:pt>
                <c:pt idx="2">
                  <c:v>672</c:v>
                </c:pt>
                <c:pt idx="3">
                  <c:v>831.6</c:v>
                </c:pt>
                <c:pt idx="4">
                  <c:v>953.4</c:v>
                </c:pt>
                <c:pt idx="5">
                  <c:v>1260</c:v>
                </c:pt>
                <c:pt idx="6">
                  <c:v>1575</c:v>
                </c:pt>
                <c:pt idx="7">
                  <c:v>1885.8</c:v>
                </c:pt>
                <c:pt idx="8">
                  <c:v>2205</c:v>
                </c:pt>
                <c:pt idx="9">
                  <c:v>2520</c:v>
                </c:pt>
                <c:pt idx="10">
                  <c:v>2839.2</c:v>
                </c:pt>
                <c:pt idx="11">
                  <c:v>3166.8</c:v>
                </c:pt>
                <c:pt idx="12">
                  <c:v>3515.4</c:v>
                </c:pt>
                <c:pt idx="13">
                  <c:v>3834.6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CD7-4411-A0CF-AD1482EF8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816368"/>
        <c:axId val="1987795248"/>
      </c:scatterChart>
      <c:valAx>
        <c:axId val="198781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795248"/>
        <c:crosses val="autoZero"/>
        <c:crossBetween val="midCat"/>
      </c:valAx>
      <c:valAx>
        <c:axId val="198779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Теплосодержание смесей газов, Дж/м3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81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Теплосодержание дымовых газов, Дж/м3</a:t>
            </a: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Лист1!$A$71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3.253519086090207E-2"/>
                  <c:y val="-7.27626187081259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Лист1!$B$70:$O$70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Лист1!$B$82:$O$82</c:f>
              <c:numCache>
                <c:formatCode>0</c:formatCode>
                <c:ptCount val="14"/>
                <c:pt idx="0">
                  <c:v>109.2</c:v>
                </c:pt>
                <c:pt idx="1">
                  <c:v>420</c:v>
                </c:pt>
                <c:pt idx="2">
                  <c:v>735</c:v>
                </c:pt>
                <c:pt idx="3">
                  <c:v>890.4</c:v>
                </c:pt>
                <c:pt idx="4">
                  <c:v>1050</c:v>
                </c:pt>
                <c:pt idx="5">
                  <c:v>1386</c:v>
                </c:pt>
                <c:pt idx="6">
                  <c:v>1730.4</c:v>
                </c:pt>
                <c:pt idx="7">
                  <c:v>2058</c:v>
                </c:pt>
                <c:pt idx="8">
                  <c:v>2436</c:v>
                </c:pt>
                <c:pt idx="9">
                  <c:v>2814</c:v>
                </c:pt>
                <c:pt idx="10">
                  <c:v>3171</c:v>
                </c:pt>
                <c:pt idx="11">
                  <c:v>3553.2</c:v>
                </c:pt>
                <c:pt idx="12">
                  <c:v>3927</c:v>
                </c:pt>
                <c:pt idx="13">
                  <c:v>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A-45F1-A3B5-24F41C0DD7DA}"/>
            </c:ext>
          </c:extLst>
        </c:ser>
        <c:ser>
          <c:idx val="1"/>
          <c:order val="1"/>
          <c:tx>
            <c:strRef>
              <c:f>Лист1!$A$72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7.7671709181396278E-2"/>
                  <c:y val="-4.491668269002664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Лист1!$B$70:$O$70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Лист1!$B$83:$O$83</c:f>
              <c:numCache>
                <c:formatCode>General</c:formatCode>
                <c:ptCount val="14"/>
                <c:pt idx="3" formatCode="0">
                  <c:v>882</c:v>
                </c:pt>
                <c:pt idx="4" formatCode="0">
                  <c:v>1033.2</c:v>
                </c:pt>
                <c:pt idx="5" formatCode="0">
                  <c:v>1365</c:v>
                </c:pt>
                <c:pt idx="6" formatCode="0">
                  <c:v>1705.2</c:v>
                </c:pt>
                <c:pt idx="7" formatCode="0">
                  <c:v>2016</c:v>
                </c:pt>
                <c:pt idx="8" formatCode="0">
                  <c:v>2394</c:v>
                </c:pt>
                <c:pt idx="9" formatCode="0">
                  <c:v>2730</c:v>
                </c:pt>
                <c:pt idx="10" formatCode="0">
                  <c:v>3095.4</c:v>
                </c:pt>
                <c:pt idx="11" formatCode="0">
                  <c:v>3465</c:v>
                </c:pt>
                <c:pt idx="12" formatCode="0">
                  <c:v>3834.6</c:v>
                </c:pt>
                <c:pt idx="13" formatCode="0">
                  <c:v>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CA-45F1-A3B5-24F41C0DD7DA}"/>
            </c:ext>
          </c:extLst>
        </c:ser>
        <c:ser>
          <c:idx val="2"/>
          <c:order val="2"/>
          <c:tx>
            <c:strRef>
              <c:f>Лист1!$A$73</c:f>
              <c:strCache>
                <c:ptCount val="1"/>
                <c:pt idx="0">
                  <c:v>40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8.0214611621987425E-2"/>
                  <c:y val="-1.56693477701725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Лист1!$B$70:$O$70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Лист1!$B$84:$O$84</c:f>
              <c:numCache>
                <c:formatCode>General</c:formatCode>
                <c:ptCount val="14"/>
                <c:pt idx="3" formatCode="0">
                  <c:v>861</c:v>
                </c:pt>
                <c:pt idx="4" formatCode="0">
                  <c:v>1016.4</c:v>
                </c:pt>
                <c:pt idx="5" formatCode="0">
                  <c:v>1339.8</c:v>
                </c:pt>
                <c:pt idx="6" formatCode="0">
                  <c:v>1680</c:v>
                </c:pt>
                <c:pt idx="7" formatCode="0">
                  <c:v>1995</c:v>
                </c:pt>
                <c:pt idx="8" formatCode="0">
                  <c:v>2331</c:v>
                </c:pt>
                <c:pt idx="9" formatCode="0">
                  <c:v>2688</c:v>
                </c:pt>
                <c:pt idx="10" formatCode="0">
                  <c:v>3045</c:v>
                </c:pt>
                <c:pt idx="11" formatCode="0">
                  <c:v>3402</c:v>
                </c:pt>
                <c:pt idx="12" formatCode="0">
                  <c:v>3738</c:v>
                </c:pt>
                <c:pt idx="13" formatCode="0">
                  <c:v>4099.2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CA-45F1-A3B5-24F41C0DD7DA}"/>
            </c:ext>
          </c:extLst>
        </c:ser>
        <c:ser>
          <c:idx val="3"/>
          <c:order val="3"/>
          <c:tx>
            <c:strRef>
              <c:f>Лист1!$A$74</c:f>
              <c:strCache>
                <c:ptCount val="1"/>
                <c:pt idx="0">
                  <c:v>60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1620264171417304"/>
                  <c:y val="-1.2995399787927831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Лист1!$B$70:$O$70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Лист1!$B$85:$O$85</c:f>
              <c:numCache>
                <c:formatCode>General</c:formatCode>
                <c:ptCount val="14"/>
                <c:pt idx="3" formatCode="0">
                  <c:v>844.2</c:v>
                </c:pt>
                <c:pt idx="4" formatCode="0">
                  <c:v>999.6</c:v>
                </c:pt>
                <c:pt idx="5" formatCode="0">
                  <c:v>1310.4000000000001</c:v>
                </c:pt>
                <c:pt idx="6" formatCode="0">
                  <c:v>1629.6</c:v>
                </c:pt>
                <c:pt idx="7" formatCode="0">
                  <c:v>1974</c:v>
                </c:pt>
                <c:pt idx="8" formatCode="0">
                  <c:v>2289</c:v>
                </c:pt>
                <c:pt idx="9" formatCode="0">
                  <c:v>2625</c:v>
                </c:pt>
                <c:pt idx="10" formatCode="0">
                  <c:v>2982</c:v>
                </c:pt>
                <c:pt idx="11" formatCode="0">
                  <c:v>3318</c:v>
                </c:pt>
                <c:pt idx="12" formatCode="0">
                  <c:v>3675</c:v>
                </c:pt>
                <c:pt idx="13" formatCode="0">
                  <c:v>3998.4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CA-45F1-A3B5-24F41C0DD7DA}"/>
            </c:ext>
          </c:extLst>
        </c:ser>
        <c:ser>
          <c:idx val="4"/>
          <c:order val="4"/>
          <c:tx>
            <c:strRef>
              <c:f>Лист1!$A$75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2858289169216988"/>
                  <c:y val="2.331423554361431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Лист1!$B$70:$O$70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Лист1!$B$86:$O$86</c:f>
              <c:numCache>
                <c:formatCode>General</c:formatCode>
                <c:ptCount val="14"/>
                <c:pt idx="3" formatCode="0">
                  <c:v>840</c:v>
                </c:pt>
                <c:pt idx="4" formatCode="0">
                  <c:v>974.4</c:v>
                </c:pt>
                <c:pt idx="5" formatCode="0">
                  <c:v>1285.2</c:v>
                </c:pt>
                <c:pt idx="6" formatCode="0">
                  <c:v>1600.2</c:v>
                </c:pt>
                <c:pt idx="7" formatCode="0">
                  <c:v>1911</c:v>
                </c:pt>
                <c:pt idx="8" formatCode="0">
                  <c:v>2259.6</c:v>
                </c:pt>
                <c:pt idx="9" formatCode="0">
                  <c:v>2604</c:v>
                </c:pt>
                <c:pt idx="10" formatCode="0">
                  <c:v>2931.6</c:v>
                </c:pt>
                <c:pt idx="11" formatCode="0">
                  <c:v>3255</c:v>
                </c:pt>
                <c:pt idx="12" formatCode="0">
                  <c:v>3570</c:v>
                </c:pt>
                <c:pt idx="13" formatCode="0">
                  <c:v>3918.6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CCA-45F1-A3B5-24F41C0DD7DA}"/>
            </c:ext>
          </c:extLst>
        </c:ser>
        <c:ser>
          <c:idx val="5"/>
          <c:order val="5"/>
          <c:tx>
            <c:strRef>
              <c:f>Лист1!$A$76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5433381164640336"/>
                  <c:y val="5.744983217597206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Лист1!$B$70:$O$70</c:f>
              <c:numCache>
                <c:formatCode>General</c:formatCode>
                <c:ptCount val="14"/>
                <c:pt idx="0">
                  <c:v>100</c:v>
                </c:pt>
                <c:pt idx="1">
                  <c:v>300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  <c:pt idx="5">
                  <c:v>900</c:v>
                </c:pt>
                <c:pt idx="6">
                  <c:v>1100</c:v>
                </c:pt>
                <c:pt idx="7">
                  <c:v>1300</c:v>
                </c:pt>
                <c:pt idx="8">
                  <c:v>1500</c:v>
                </c:pt>
                <c:pt idx="9">
                  <c:v>1700</c:v>
                </c:pt>
                <c:pt idx="10">
                  <c:v>1900</c:v>
                </c:pt>
                <c:pt idx="11">
                  <c:v>2100</c:v>
                </c:pt>
                <c:pt idx="12">
                  <c:v>2300</c:v>
                </c:pt>
                <c:pt idx="13">
                  <c:v>2500</c:v>
                </c:pt>
              </c:numCache>
            </c:numRef>
          </c:xVal>
          <c:yVal>
            <c:numRef>
              <c:f>Лист1!$B$87:$O$87</c:f>
              <c:numCache>
                <c:formatCode>0</c:formatCode>
                <c:ptCount val="14"/>
                <c:pt idx="0">
                  <c:v>105</c:v>
                </c:pt>
                <c:pt idx="1">
                  <c:v>378</c:v>
                </c:pt>
                <c:pt idx="2">
                  <c:v>655.20000000000005</c:v>
                </c:pt>
                <c:pt idx="3">
                  <c:v>806.4</c:v>
                </c:pt>
                <c:pt idx="4">
                  <c:v>945</c:v>
                </c:pt>
                <c:pt idx="5">
                  <c:v>1260</c:v>
                </c:pt>
                <c:pt idx="6">
                  <c:v>1575</c:v>
                </c:pt>
                <c:pt idx="7">
                  <c:v>1890</c:v>
                </c:pt>
                <c:pt idx="8">
                  <c:v>2205</c:v>
                </c:pt>
                <c:pt idx="9">
                  <c:v>2532.6</c:v>
                </c:pt>
                <c:pt idx="10">
                  <c:v>2847.6</c:v>
                </c:pt>
                <c:pt idx="11">
                  <c:v>3183.6</c:v>
                </c:pt>
                <c:pt idx="12">
                  <c:v>3519.6</c:v>
                </c:pt>
                <c:pt idx="13">
                  <c:v>3838.8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CCA-45F1-A3B5-24F41C0DD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816368"/>
        <c:axId val="1987795248"/>
      </c:scatterChart>
      <c:valAx>
        <c:axId val="198781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795248"/>
        <c:crosses val="autoZero"/>
        <c:crossBetween val="midCat"/>
      </c:valAx>
      <c:valAx>
        <c:axId val="198779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Теплосодержание смесей газов, Дж/м3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81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116378</xdr:colOff>
      <xdr:row>10</xdr:row>
      <xdr:rowOff>24380</xdr:rowOff>
    </xdr:from>
    <xdr:to>
      <xdr:col>29</xdr:col>
      <xdr:colOff>-1</xdr:colOff>
      <xdr:row>29</xdr:row>
      <xdr:rowOff>119062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A3F9BD1C-A88B-4158-ABCF-A52BECFDE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140078</xdr:colOff>
      <xdr:row>31</xdr:row>
      <xdr:rowOff>171320</xdr:rowOff>
    </xdr:from>
    <xdr:to>
      <xdr:col>29</xdr:col>
      <xdr:colOff>100665</xdr:colOff>
      <xdr:row>50</xdr:row>
      <xdr:rowOff>143549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F0DE8DC-2D61-4A67-BEB4-66029789D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338667</xdr:colOff>
      <xdr:row>54</xdr:row>
      <xdr:rowOff>127000</xdr:rowOff>
    </xdr:from>
    <xdr:to>
      <xdr:col>30</xdr:col>
      <xdr:colOff>486833</xdr:colOff>
      <xdr:row>74</xdr:row>
      <xdr:rowOff>118534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A101C76-822A-47CC-9672-1A864B283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259293</xdr:colOff>
      <xdr:row>75</xdr:row>
      <xdr:rowOff>80433</xdr:rowOff>
    </xdr:from>
    <xdr:to>
      <xdr:col>30</xdr:col>
      <xdr:colOff>539751</xdr:colOff>
      <xdr:row>95</xdr:row>
      <xdr:rowOff>63500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4246D53-46A4-4492-9624-25F02F5D0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Y87"/>
  <sheetViews>
    <sheetView topLeftCell="A53" zoomScale="70" zoomScaleNormal="70" workbookViewId="0">
      <selection activeCell="J95" sqref="J95"/>
    </sheetView>
  </sheetViews>
  <sheetFormatPr defaultRowHeight="15" x14ac:dyDescent="0.25"/>
  <cols>
    <col min="17" max="17" width="10.28515625" bestFit="1" customWidth="1"/>
    <col min="33" max="33" width="12.42578125" customWidth="1"/>
  </cols>
  <sheetData>
    <row r="1" spans="1:25" ht="15.75" thickBot="1" x14ac:dyDescent="0.3">
      <c r="A1" s="47" t="s">
        <v>55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9"/>
    </row>
    <row r="2" spans="1:25" x14ac:dyDescent="0.25">
      <c r="A2" s="42"/>
      <c r="B2" s="50" t="s">
        <v>0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5.75" thickBot="1" x14ac:dyDescent="0.3">
      <c r="A3" s="19" t="s">
        <v>1</v>
      </c>
      <c r="B3" s="43">
        <v>100</v>
      </c>
      <c r="C3" s="43">
        <v>300</v>
      </c>
      <c r="D3" s="43">
        <v>500</v>
      </c>
      <c r="E3" s="43">
        <v>600</v>
      </c>
      <c r="F3" s="43">
        <v>700</v>
      </c>
      <c r="G3" s="43">
        <v>900</v>
      </c>
      <c r="H3" s="43">
        <v>1100</v>
      </c>
      <c r="I3" s="43">
        <v>1300</v>
      </c>
      <c r="J3" s="43">
        <v>1500</v>
      </c>
      <c r="K3" s="43">
        <v>1700</v>
      </c>
      <c r="L3" s="43">
        <v>1900</v>
      </c>
      <c r="M3" s="43">
        <v>2100</v>
      </c>
      <c r="N3" s="43">
        <v>2300</v>
      </c>
      <c r="O3" s="44">
        <v>2500</v>
      </c>
    </row>
    <row r="4" spans="1:25" x14ac:dyDescent="0.25">
      <c r="A4" s="40">
        <v>0</v>
      </c>
      <c r="B4" s="40">
        <v>38</v>
      </c>
      <c r="C4" s="40">
        <v>110</v>
      </c>
      <c r="D4" s="40">
        <v>175</v>
      </c>
      <c r="E4" s="40">
        <v>218</v>
      </c>
      <c r="F4" s="40">
        <v>260</v>
      </c>
      <c r="G4" s="40">
        <v>337</v>
      </c>
      <c r="H4" s="40">
        <v>423</v>
      </c>
      <c r="I4" s="40">
        <v>512</v>
      </c>
      <c r="J4" s="40">
        <v>605</v>
      </c>
      <c r="K4" s="40">
        <v>700</v>
      </c>
      <c r="L4" s="40">
        <v>823</v>
      </c>
      <c r="M4" s="40">
        <v>950</v>
      </c>
      <c r="N4" s="40">
        <v>1100</v>
      </c>
      <c r="O4" s="45"/>
    </row>
    <row r="5" spans="1:25" x14ac:dyDescent="0.25">
      <c r="A5" s="3">
        <v>20</v>
      </c>
      <c r="B5" s="39"/>
      <c r="C5" s="39"/>
      <c r="D5" s="39"/>
      <c r="E5" s="3">
        <v>215</v>
      </c>
      <c r="F5" s="3">
        <v>250</v>
      </c>
      <c r="G5" s="3">
        <v>330</v>
      </c>
      <c r="H5" s="3">
        <v>412</v>
      </c>
      <c r="I5" s="3">
        <v>500</v>
      </c>
      <c r="J5" s="3">
        <v>600</v>
      </c>
      <c r="K5" s="3">
        <v>675</v>
      </c>
      <c r="L5" s="3">
        <v>775</v>
      </c>
      <c r="M5" s="3">
        <v>888</v>
      </c>
      <c r="N5" s="3">
        <v>1029</v>
      </c>
      <c r="O5" s="3">
        <v>1200</v>
      </c>
    </row>
    <row r="6" spans="1:25" x14ac:dyDescent="0.25">
      <c r="A6" s="3">
        <v>40</v>
      </c>
      <c r="B6" s="39"/>
      <c r="C6" s="39"/>
      <c r="D6" s="39"/>
      <c r="E6" s="3">
        <v>212</v>
      </c>
      <c r="F6" s="3">
        <v>248</v>
      </c>
      <c r="G6" s="3">
        <v>325</v>
      </c>
      <c r="H6" s="3">
        <v>400</v>
      </c>
      <c r="I6" s="3">
        <v>479</v>
      </c>
      <c r="J6" s="3">
        <v>575</v>
      </c>
      <c r="K6" s="3">
        <v>689</v>
      </c>
      <c r="L6" s="3">
        <v>748</v>
      </c>
      <c r="M6" s="3">
        <v>850</v>
      </c>
      <c r="N6" s="3">
        <v>974</v>
      </c>
      <c r="O6" s="3">
        <v>1118</v>
      </c>
    </row>
    <row r="7" spans="1:25" x14ac:dyDescent="0.25">
      <c r="A7" s="3">
        <v>60</v>
      </c>
      <c r="B7" s="39"/>
      <c r="C7" s="39"/>
      <c r="D7" s="39"/>
      <c r="E7" s="3">
        <v>205</v>
      </c>
      <c r="F7" s="3">
        <v>245</v>
      </c>
      <c r="G7" s="3">
        <v>312</v>
      </c>
      <c r="H7" s="3">
        <v>390</v>
      </c>
      <c r="I7" s="3">
        <v>473</v>
      </c>
      <c r="J7" s="3">
        <v>560</v>
      </c>
      <c r="K7" s="3">
        <v>623</v>
      </c>
      <c r="L7" s="3">
        <v>725</v>
      </c>
      <c r="M7" s="3">
        <v>818</v>
      </c>
      <c r="N7" s="3">
        <v>925</v>
      </c>
      <c r="O7" s="3">
        <v>1042</v>
      </c>
    </row>
    <row r="8" spans="1:25" x14ac:dyDescent="0.25">
      <c r="A8" s="3">
        <v>80</v>
      </c>
      <c r="B8" s="39"/>
      <c r="C8" s="39"/>
      <c r="D8" s="39"/>
      <c r="E8" s="3">
        <v>200</v>
      </c>
      <c r="F8" s="3">
        <v>237</v>
      </c>
      <c r="G8" s="3">
        <v>306</v>
      </c>
      <c r="H8" s="3">
        <v>384</v>
      </c>
      <c r="I8" s="3">
        <v>458</v>
      </c>
      <c r="J8" s="3">
        <v>530</v>
      </c>
      <c r="K8" s="3">
        <v>623</v>
      </c>
      <c r="L8" s="3">
        <v>700</v>
      </c>
      <c r="M8" s="3">
        <v>785</v>
      </c>
      <c r="N8" s="3">
        <v>876</v>
      </c>
      <c r="O8" s="3">
        <v>975</v>
      </c>
    </row>
    <row r="9" spans="1:25" x14ac:dyDescent="0.25">
      <c r="A9" s="3">
        <v>100</v>
      </c>
      <c r="B9" s="3">
        <v>37</v>
      </c>
      <c r="C9" s="3">
        <v>100</v>
      </c>
      <c r="D9" s="3">
        <v>160</v>
      </c>
      <c r="E9" s="3">
        <v>198</v>
      </c>
      <c r="F9" s="3">
        <v>227</v>
      </c>
      <c r="G9" s="3">
        <v>300</v>
      </c>
      <c r="H9" s="3">
        <v>375</v>
      </c>
      <c r="I9" s="3">
        <v>449</v>
      </c>
      <c r="J9" s="3">
        <v>525</v>
      </c>
      <c r="K9" s="3">
        <v>600</v>
      </c>
      <c r="L9" s="3">
        <v>676</v>
      </c>
      <c r="M9" s="3">
        <v>754</v>
      </c>
      <c r="N9" s="3">
        <v>837</v>
      </c>
      <c r="O9" s="3">
        <v>913</v>
      </c>
    </row>
    <row r="11" spans="1:25" ht="15.75" thickBot="1" x14ac:dyDescent="0.3"/>
    <row r="12" spans="1:25" ht="15.75" thickBot="1" x14ac:dyDescent="0.3">
      <c r="A12" s="47" t="s">
        <v>56</v>
      </c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9"/>
    </row>
    <row r="13" spans="1:25" x14ac:dyDescent="0.25">
      <c r="A13" s="42"/>
      <c r="B13" s="50" t="s">
        <v>0</v>
      </c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1"/>
    </row>
    <row r="14" spans="1:25" ht="15.75" thickBot="1" x14ac:dyDescent="0.3">
      <c r="A14" s="19" t="s">
        <v>1</v>
      </c>
      <c r="B14" s="43">
        <v>100</v>
      </c>
      <c r="C14" s="43">
        <v>300</v>
      </c>
      <c r="D14" s="43">
        <v>500</v>
      </c>
      <c r="E14" s="43">
        <v>600</v>
      </c>
      <c r="F14" s="43">
        <v>700</v>
      </c>
      <c r="G14" s="43">
        <v>900</v>
      </c>
      <c r="H14" s="43">
        <v>1100</v>
      </c>
      <c r="I14" s="43">
        <v>1300</v>
      </c>
      <c r="J14" s="43">
        <v>1500</v>
      </c>
      <c r="K14" s="43">
        <v>1700</v>
      </c>
      <c r="L14" s="43">
        <v>1900</v>
      </c>
      <c r="M14" s="43">
        <v>2100</v>
      </c>
      <c r="N14" s="43">
        <v>2300</v>
      </c>
      <c r="O14" s="44">
        <v>2500</v>
      </c>
    </row>
    <row r="15" spans="1:25" x14ac:dyDescent="0.25">
      <c r="A15" s="40">
        <v>0</v>
      </c>
      <c r="B15" s="40">
        <v>26</v>
      </c>
      <c r="C15" s="40">
        <v>100</v>
      </c>
      <c r="D15" s="40">
        <v>175</v>
      </c>
      <c r="E15" s="40">
        <v>212</v>
      </c>
      <c r="F15" s="40">
        <v>250</v>
      </c>
      <c r="G15" s="40">
        <v>330</v>
      </c>
      <c r="H15" s="40">
        <v>412</v>
      </c>
      <c r="I15" s="40">
        <v>490</v>
      </c>
      <c r="J15" s="40">
        <v>580</v>
      </c>
      <c r="K15" s="40">
        <v>680</v>
      </c>
      <c r="L15" s="40">
        <v>785</v>
      </c>
      <c r="M15" s="40">
        <v>900</v>
      </c>
      <c r="N15" s="40">
        <v>1050</v>
      </c>
      <c r="O15" s="45"/>
    </row>
    <row r="16" spans="1:25" x14ac:dyDescent="0.25">
      <c r="A16" s="3">
        <v>20</v>
      </c>
      <c r="B16" s="39"/>
      <c r="C16" s="39"/>
      <c r="D16" s="39"/>
      <c r="E16" s="3">
        <v>210</v>
      </c>
      <c r="F16" s="3">
        <v>246</v>
      </c>
      <c r="G16" s="3">
        <v>325</v>
      </c>
      <c r="H16" s="3">
        <v>406</v>
      </c>
      <c r="I16" s="3">
        <v>480</v>
      </c>
      <c r="J16" s="3">
        <v>570</v>
      </c>
      <c r="K16" s="3">
        <v>656</v>
      </c>
      <c r="L16" s="3">
        <v>750</v>
      </c>
      <c r="M16" s="3">
        <v>850</v>
      </c>
      <c r="N16" s="3">
        <v>975</v>
      </c>
      <c r="O16" s="3">
        <v>1120</v>
      </c>
    </row>
    <row r="17" spans="1:15" x14ac:dyDescent="0.25">
      <c r="A17" s="3">
        <v>40</v>
      </c>
      <c r="B17" s="39"/>
      <c r="C17" s="39"/>
      <c r="D17" s="39"/>
      <c r="E17" s="3">
        <v>205</v>
      </c>
      <c r="F17" s="3">
        <v>242</v>
      </c>
      <c r="G17" s="3">
        <v>319</v>
      </c>
      <c r="H17" s="3">
        <v>400</v>
      </c>
      <c r="I17" s="3">
        <v>475</v>
      </c>
      <c r="J17" s="3">
        <v>555</v>
      </c>
      <c r="K17" s="3">
        <v>640</v>
      </c>
      <c r="L17" s="3">
        <v>725</v>
      </c>
      <c r="M17" s="3">
        <v>825</v>
      </c>
      <c r="N17" s="3">
        <v>935</v>
      </c>
      <c r="O17" s="3">
        <v>1060</v>
      </c>
    </row>
    <row r="18" spans="1:15" x14ac:dyDescent="0.25">
      <c r="A18" s="3">
        <v>60</v>
      </c>
      <c r="B18" s="39"/>
      <c r="C18" s="39"/>
      <c r="D18" s="39"/>
      <c r="E18" s="3">
        <v>201</v>
      </c>
      <c r="F18" s="3">
        <v>238</v>
      </c>
      <c r="G18" s="3">
        <v>312</v>
      </c>
      <c r="H18" s="3">
        <v>388</v>
      </c>
      <c r="I18" s="3">
        <v>470</v>
      </c>
      <c r="J18" s="3">
        <v>545</v>
      </c>
      <c r="K18" s="3">
        <v>625</v>
      </c>
      <c r="L18" s="3">
        <v>715</v>
      </c>
      <c r="M18" s="3">
        <v>800</v>
      </c>
      <c r="N18" s="3">
        <v>890</v>
      </c>
      <c r="O18" s="3">
        <v>1000</v>
      </c>
    </row>
    <row r="19" spans="1:15" x14ac:dyDescent="0.25">
      <c r="A19" s="3">
        <v>80</v>
      </c>
      <c r="B19" s="39"/>
      <c r="C19" s="39"/>
      <c r="D19" s="39"/>
      <c r="E19" s="3">
        <v>200</v>
      </c>
      <c r="F19" s="3">
        <v>232</v>
      </c>
      <c r="G19" s="3">
        <v>306</v>
      </c>
      <c r="H19" s="3">
        <v>381</v>
      </c>
      <c r="I19" s="3">
        <v>455</v>
      </c>
      <c r="J19" s="3">
        <v>538</v>
      </c>
      <c r="K19" s="3">
        <v>620</v>
      </c>
      <c r="L19" s="3">
        <v>700</v>
      </c>
      <c r="M19" s="3">
        <v>777</v>
      </c>
      <c r="N19" s="3">
        <v>870</v>
      </c>
      <c r="O19" s="3">
        <v>960</v>
      </c>
    </row>
    <row r="20" spans="1:15" x14ac:dyDescent="0.25">
      <c r="A20" s="3">
        <v>100</v>
      </c>
      <c r="B20" s="3">
        <v>25</v>
      </c>
      <c r="C20" s="3">
        <v>90</v>
      </c>
      <c r="D20" s="3">
        <v>156</v>
      </c>
      <c r="E20" s="3">
        <v>192</v>
      </c>
      <c r="F20" s="3">
        <v>225</v>
      </c>
      <c r="G20" s="3">
        <v>300</v>
      </c>
      <c r="H20" s="3">
        <v>375</v>
      </c>
      <c r="I20" s="3">
        <v>450</v>
      </c>
      <c r="J20" s="3">
        <v>525</v>
      </c>
      <c r="K20" s="3">
        <v>603</v>
      </c>
      <c r="L20" s="3">
        <v>678</v>
      </c>
      <c r="M20" s="3">
        <v>758</v>
      </c>
      <c r="N20" s="3">
        <v>838</v>
      </c>
      <c r="O20" s="3">
        <v>914</v>
      </c>
    </row>
    <row r="22" spans="1:15" ht="15.75" thickBot="1" x14ac:dyDescent="0.3"/>
    <row r="23" spans="1:15" ht="15.75" thickBot="1" x14ac:dyDescent="0.3">
      <c r="A23" s="47" t="s">
        <v>55</v>
      </c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9"/>
    </row>
    <row r="24" spans="1:15" x14ac:dyDescent="0.25">
      <c r="A24" s="42"/>
      <c r="B24" s="50" t="s">
        <v>0</v>
      </c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1"/>
    </row>
    <row r="25" spans="1:15" ht="15.75" thickBot="1" x14ac:dyDescent="0.3">
      <c r="A25" s="19" t="s">
        <v>2</v>
      </c>
      <c r="B25" s="43">
        <v>100</v>
      </c>
      <c r="C25" s="43">
        <v>300</v>
      </c>
      <c r="D25" s="43">
        <v>500</v>
      </c>
      <c r="E25" s="43">
        <v>600</v>
      </c>
      <c r="F25" s="43">
        <v>700</v>
      </c>
      <c r="G25" s="43">
        <v>900</v>
      </c>
      <c r="H25" s="43">
        <v>1100</v>
      </c>
      <c r="I25" s="43">
        <v>1300</v>
      </c>
      <c r="J25" s="43">
        <v>1500</v>
      </c>
      <c r="K25" s="43">
        <v>1700</v>
      </c>
      <c r="L25" s="43">
        <v>1900</v>
      </c>
      <c r="M25" s="43">
        <v>2100</v>
      </c>
      <c r="N25" s="43">
        <v>2300</v>
      </c>
      <c r="O25" s="44">
        <v>2500</v>
      </c>
    </row>
    <row r="26" spans="1:15" x14ac:dyDescent="0.25">
      <c r="A26" s="40">
        <v>0</v>
      </c>
      <c r="B26" s="41">
        <f t="shared" ref="B26:N26" si="0">B4*420/100</f>
        <v>159.6</v>
      </c>
      <c r="C26" s="41">
        <f t="shared" si="0"/>
        <v>462</v>
      </c>
      <c r="D26" s="41">
        <f t="shared" si="0"/>
        <v>735</v>
      </c>
      <c r="E26" s="41">
        <f t="shared" si="0"/>
        <v>915.6</v>
      </c>
      <c r="F26" s="41">
        <f t="shared" si="0"/>
        <v>1092</v>
      </c>
      <c r="G26" s="41">
        <f t="shared" si="0"/>
        <v>1415.4</v>
      </c>
      <c r="H26" s="41">
        <f t="shared" si="0"/>
        <v>1776.6</v>
      </c>
      <c r="I26" s="41">
        <f t="shared" si="0"/>
        <v>2150.4</v>
      </c>
      <c r="J26" s="41">
        <f t="shared" si="0"/>
        <v>2541</v>
      </c>
      <c r="K26" s="41">
        <f t="shared" si="0"/>
        <v>2940</v>
      </c>
      <c r="L26" s="41">
        <f t="shared" si="0"/>
        <v>3456.6</v>
      </c>
      <c r="M26" s="41">
        <f t="shared" si="0"/>
        <v>3990</v>
      </c>
      <c r="N26" s="41">
        <f t="shared" si="0"/>
        <v>4620</v>
      </c>
      <c r="O26" s="46"/>
    </row>
    <row r="27" spans="1:15" x14ac:dyDescent="0.25">
      <c r="A27" s="3">
        <v>20</v>
      </c>
      <c r="B27" s="39"/>
      <c r="C27" s="39"/>
      <c r="D27" s="39"/>
      <c r="E27" s="25">
        <f t="shared" ref="E27:O27" si="1">E5*420/100</f>
        <v>903</v>
      </c>
      <c r="F27" s="25">
        <f t="shared" si="1"/>
        <v>1050</v>
      </c>
      <c r="G27" s="25">
        <f t="shared" si="1"/>
        <v>1386</v>
      </c>
      <c r="H27" s="25">
        <f t="shared" si="1"/>
        <v>1730.4</v>
      </c>
      <c r="I27" s="25">
        <f t="shared" si="1"/>
        <v>2100</v>
      </c>
      <c r="J27" s="25">
        <f t="shared" si="1"/>
        <v>2520</v>
      </c>
      <c r="K27" s="25">
        <f t="shared" si="1"/>
        <v>2835</v>
      </c>
      <c r="L27" s="25">
        <f t="shared" si="1"/>
        <v>3255</v>
      </c>
      <c r="M27" s="25">
        <f t="shared" si="1"/>
        <v>3729.6</v>
      </c>
      <c r="N27" s="25">
        <f t="shared" si="1"/>
        <v>4321.8</v>
      </c>
      <c r="O27" s="25">
        <f t="shared" si="1"/>
        <v>5040</v>
      </c>
    </row>
    <row r="28" spans="1:15" x14ac:dyDescent="0.25">
      <c r="A28" s="3">
        <v>40</v>
      </c>
      <c r="B28" s="39"/>
      <c r="C28" s="39"/>
      <c r="D28" s="39"/>
      <c r="E28" s="25">
        <f t="shared" ref="E28:O28" si="2">E6*420/100</f>
        <v>890.4</v>
      </c>
      <c r="F28" s="25">
        <f t="shared" si="2"/>
        <v>1041.5999999999999</v>
      </c>
      <c r="G28" s="25">
        <f t="shared" si="2"/>
        <v>1365</v>
      </c>
      <c r="H28" s="25">
        <f t="shared" si="2"/>
        <v>1680</v>
      </c>
      <c r="I28" s="25">
        <f t="shared" si="2"/>
        <v>2011.8</v>
      </c>
      <c r="J28" s="25">
        <f t="shared" si="2"/>
        <v>2415</v>
      </c>
      <c r="K28" s="25">
        <f t="shared" si="2"/>
        <v>2893.8</v>
      </c>
      <c r="L28" s="25">
        <f t="shared" si="2"/>
        <v>3141.6</v>
      </c>
      <c r="M28" s="25">
        <f t="shared" si="2"/>
        <v>3570</v>
      </c>
      <c r="N28" s="25">
        <f t="shared" si="2"/>
        <v>4090.8</v>
      </c>
      <c r="O28" s="25">
        <f t="shared" si="2"/>
        <v>4695.6000000000004</v>
      </c>
    </row>
    <row r="29" spans="1:15" x14ac:dyDescent="0.25">
      <c r="A29" s="3">
        <v>60</v>
      </c>
      <c r="B29" s="39"/>
      <c r="C29" s="39"/>
      <c r="D29" s="39"/>
      <c r="E29" s="25">
        <f t="shared" ref="E29:O29" si="3">E7*420/100</f>
        <v>861</v>
      </c>
      <c r="F29" s="25">
        <f t="shared" si="3"/>
        <v>1029</v>
      </c>
      <c r="G29" s="25">
        <f t="shared" si="3"/>
        <v>1310.4000000000001</v>
      </c>
      <c r="H29" s="25">
        <f t="shared" si="3"/>
        <v>1638</v>
      </c>
      <c r="I29" s="25">
        <f t="shared" si="3"/>
        <v>1986.6</v>
      </c>
      <c r="J29" s="25">
        <f t="shared" si="3"/>
        <v>2352</v>
      </c>
      <c r="K29" s="25">
        <f t="shared" si="3"/>
        <v>2616.6</v>
      </c>
      <c r="L29" s="25">
        <f t="shared" si="3"/>
        <v>3045</v>
      </c>
      <c r="M29" s="25">
        <f t="shared" si="3"/>
        <v>3435.6</v>
      </c>
      <c r="N29" s="25">
        <f t="shared" si="3"/>
        <v>3885</v>
      </c>
      <c r="O29" s="25">
        <f t="shared" si="3"/>
        <v>4376.3999999999996</v>
      </c>
    </row>
    <row r="30" spans="1:15" x14ac:dyDescent="0.25">
      <c r="A30" s="3">
        <v>80</v>
      </c>
      <c r="B30" s="39"/>
      <c r="C30" s="39"/>
      <c r="D30" s="39"/>
      <c r="E30" s="25">
        <f t="shared" ref="E30:O30" si="4">E8*420/100</f>
        <v>840</v>
      </c>
      <c r="F30" s="25">
        <f t="shared" si="4"/>
        <v>995.4</v>
      </c>
      <c r="G30" s="25">
        <f t="shared" si="4"/>
        <v>1285.2</v>
      </c>
      <c r="H30" s="25">
        <f t="shared" si="4"/>
        <v>1612.8</v>
      </c>
      <c r="I30" s="25">
        <f t="shared" si="4"/>
        <v>1923.6</v>
      </c>
      <c r="J30" s="25">
        <f t="shared" si="4"/>
        <v>2226</v>
      </c>
      <c r="K30" s="25">
        <f t="shared" si="4"/>
        <v>2616.6</v>
      </c>
      <c r="L30" s="25">
        <f t="shared" si="4"/>
        <v>2940</v>
      </c>
      <c r="M30" s="25">
        <f t="shared" si="4"/>
        <v>3297</v>
      </c>
      <c r="N30" s="25">
        <f t="shared" si="4"/>
        <v>3679.2</v>
      </c>
      <c r="O30" s="25">
        <f t="shared" si="4"/>
        <v>4095</v>
      </c>
    </row>
    <row r="31" spans="1:15" x14ac:dyDescent="0.25">
      <c r="A31" s="3">
        <v>100</v>
      </c>
      <c r="B31" s="25">
        <f t="shared" ref="B31" si="5">B9*420/100</f>
        <v>155.4</v>
      </c>
      <c r="C31" s="25">
        <f>C9*420/100</f>
        <v>420</v>
      </c>
      <c r="D31" s="25">
        <f>D9*420/100</f>
        <v>672</v>
      </c>
      <c r="E31" s="25">
        <f t="shared" ref="E31:O31" si="6">E9*420/100</f>
        <v>831.6</v>
      </c>
      <c r="F31" s="25">
        <f t="shared" si="6"/>
        <v>953.4</v>
      </c>
      <c r="G31" s="25">
        <f t="shared" si="6"/>
        <v>1260</v>
      </c>
      <c r="H31" s="25">
        <f t="shared" si="6"/>
        <v>1575</v>
      </c>
      <c r="I31" s="25">
        <f t="shared" si="6"/>
        <v>1885.8</v>
      </c>
      <c r="J31" s="25">
        <f t="shared" si="6"/>
        <v>2205</v>
      </c>
      <c r="K31" s="25">
        <f t="shared" si="6"/>
        <v>2520</v>
      </c>
      <c r="L31" s="25">
        <f t="shared" si="6"/>
        <v>2839.2</v>
      </c>
      <c r="M31" s="25">
        <f t="shared" si="6"/>
        <v>3166.8</v>
      </c>
      <c r="N31" s="25">
        <f t="shared" si="6"/>
        <v>3515.4</v>
      </c>
      <c r="O31" s="25">
        <f t="shared" si="6"/>
        <v>3834.6</v>
      </c>
    </row>
    <row r="33" spans="1:17" ht="15.75" thickBot="1" x14ac:dyDescent="0.3"/>
    <row r="34" spans="1:17" ht="15.75" thickBot="1" x14ac:dyDescent="0.3">
      <c r="A34" s="47" t="s">
        <v>56</v>
      </c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9"/>
    </row>
    <row r="35" spans="1:17" x14ac:dyDescent="0.25">
      <c r="A35" s="42"/>
      <c r="B35" s="50" t="s">
        <v>0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1"/>
    </row>
    <row r="36" spans="1:17" ht="15.75" thickBot="1" x14ac:dyDescent="0.3">
      <c r="A36" s="19" t="s">
        <v>2</v>
      </c>
      <c r="B36" s="43">
        <v>100</v>
      </c>
      <c r="C36" s="43">
        <v>300</v>
      </c>
      <c r="D36" s="43">
        <v>500</v>
      </c>
      <c r="E36" s="43">
        <v>600</v>
      </c>
      <c r="F36" s="43">
        <v>700</v>
      </c>
      <c r="G36" s="43">
        <v>900</v>
      </c>
      <c r="H36" s="43">
        <v>1100</v>
      </c>
      <c r="I36" s="43">
        <v>1300</v>
      </c>
      <c r="J36" s="43">
        <v>1500</v>
      </c>
      <c r="K36" s="43">
        <v>1700</v>
      </c>
      <c r="L36" s="43">
        <v>1900</v>
      </c>
      <c r="M36" s="43">
        <v>2100</v>
      </c>
      <c r="N36" s="43">
        <v>2300</v>
      </c>
      <c r="O36" s="44">
        <v>2500</v>
      </c>
    </row>
    <row r="37" spans="1:17" x14ac:dyDescent="0.25">
      <c r="A37" s="40">
        <v>0</v>
      </c>
      <c r="B37" s="41">
        <f>B15*420/100</f>
        <v>109.2</v>
      </c>
      <c r="C37" s="41">
        <f t="shared" ref="C37:N37" si="7">C15*420/100</f>
        <v>420</v>
      </c>
      <c r="D37" s="41">
        <f t="shared" si="7"/>
        <v>735</v>
      </c>
      <c r="E37" s="41">
        <f t="shared" si="7"/>
        <v>890.4</v>
      </c>
      <c r="F37" s="41">
        <f t="shared" si="7"/>
        <v>1050</v>
      </c>
      <c r="G37" s="41">
        <f t="shared" si="7"/>
        <v>1386</v>
      </c>
      <c r="H37" s="41">
        <f t="shared" si="7"/>
        <v>1730.4</v>
      </c>
      <c r="I37" s="41">
        <f t="shared" si="7"/>
        <v>2058</v>
      </c>
      <c r="J37" s="41">
        <f t="shared" si="7"/>
        <v>2436</v>
      </c>
      <c r="K37" s="41">
        <f t="shared" si="7"/>
        <v>2856</v>
      </c>
      <c r="L37" s="41">
        <f>L15*420/100</f>
        <v>3297</v>
      </c>
      <c r="M37" s="41">
        <f t="shared" si="7"/>
        <v>3780</v>
      </c>
      <c r="N37" s="41">
        <f t="shared" si="7"/>
        <v>4410</v>
      </c>
      <c r="O37" s="45"/>
    </row>
    <row r="38" spans="1:17" x14ac:dyDescent="0.25">
      <c r="A38" s="3">
        <v>20</v>
      </c>
      <c r="B38" s="39"/>
      <c r="C38" s="39"/>
      <c r="D38" s="39"/>
      <c r="E38" s="25">
        <f t="shared" ref="E38:O38" si="8">E16*420/100</f>
        <v>882</v>
      </c>
      <c r="F38" s="25">
        <f t="shared" si="8"/>
        <v>1033.2</v>
      </c>
      <c r="G38" s="25">
        <f t="shared" si="8"/>
        <v>1365</v>
      </c>
      <c r="H38" s="25">
        <f t="shared" si="8"/>
        <v>1705.2</v>
      </c>
      <c r="I38" s="25">
        <f t="shared" si="8"/>
        <v>2016</v>
      </c>
      <c r="J38" s="25">
        <f t="shared" si="8"/>
        <v>2394</v>
      </c>
      <c r="K38" s="25">
        <f t="shared" si="8"/>
        <v>2755.2</v>
      </c>
      <c r="L38" s="25">
        <f t="shared" si="8"/>
        <v>3150</v>
      </c>
      <c r="M38" s="25">
        <f t="shared" si="8"/>
        <v>3570</v>
      </c>
      <c r="N38" s="25">
        <f t="shared" si="8"/>
        <v>4095</v>
      </c>
      <c r="O38" s="25">
        <f t="shared" si="8"/>
        <v>4704</v>
      </c>
    </row>
    <row r="39" spans="1:17" x14ac:dyDescent="0.25">
      <c r="A39" s="3">
        <v>40</v>
      </c>
      <c r="B39" s="39"/>
      <c r="C39" s="39"/>
      <c r="D39" s="39"/>
      <c r="E39" s="25">
        <f t="shared" ref="E39:O39" si="9">E17*420/100</f>
        <v>861</v>
      </c>
      <c r="F39" s="25">
        <f t="shared" si="9"/>
        <v>1016.4</v>
      </c>
      <c r="G39" s="25">
        <f t="shared" si="9"/>
        <v>1339.8</v>
      </c>
      <c r="H39" s="25">
        <f t="shared" si="9"/>
        <v>1680</v>
      </c>
      <c r="I39" s="25">
        <f t="shared" si="9"/>
        <v>1995</v>
      </c>
      <c r="J39" s="25">
        <f t="shared" si="9"/>
        <v>2331</v>
      </c>
      <c r="K39" s="25">
        <f t="shared" si="9"/>
        <v>2688</v>
      </c>
      <c r="L39" s="25">
        <f t="shared" si="9"/>
        <v>3045</v>
      </c>
      <c r="M39" s="25">
        <f t="shared" si="9"/>
        <v>3465</v>
      </c>
      <c r="N39" s="25">
        <f t="shared" si="9"/>
        <v>3927</v>
      </c>
      <c r="O39" s="25">
        <f t="shared" si="9"/>
        <v>4452</v>
      </c>
    </row>
    <row r="40" spans="1:17" x14ac:dyDescent="0.25">
      <c r="A40" s="3">
        <v>60</v>
      </c>
      <c r="B40" s="39"/>
      <c r="C40" s="39"/>
      <c r="D40" s="39"/>
      <c r="E40" s="25">
        <f t="shared" ref="E40:O40" si="10">E18*420/100</f>
        <v>844.2</v>
      </c>
      <c r="F40" s="25">
        <f t="shared" si="10"/>
        <v>999.6</v>
      </c>
      <c r="G40" s="25">
        <f t="shared" si="10"/>
        <v>1310.4000000000001</v>
      </c>
      <c r="H40" s="25">
        <f t="shared" si="10"/>
        <v>1629.6</v>
      </c>
      <c r="I40" s="25">
        <f t="shared" si="10"/>
        <v>1974</v>
      </c>
      <c r="J40" s="25">
        <f t="shared" si="10"/>
        <v>2289</v>
      </c>
      <c r="K40" s="25">
        <f t="shared" si="10"/>
        <v>2625</v>
      </c>
      <c r="L40" s="25">
        <f t="shared" si="10"/>
        <v>3003</v>
      </c>
      <c r="M40" s="25">
        <f t="shared" si="10"/>
        <v>3360</v>
      </c>
      <c r="N40" s="25">
        <f t="shared" si="10"/>
        <v>3738</v>
      </c>
      <c r="O40" s="25">
        <f t="shared" si="10"/>
        <v>4200</v>
      </c>
      <c r="Q40" s="2"/>
    </row>
    <row r="41" spans="1:17" x14ac:dyDescent="0.25">
      <c r="A41" s="3">
        <v>80</v>
      </c>
      <c r="B41" s="39"/>
      <c r="C41" s="39"/>
      <c r="D41" s="39"/>
      <c r="E41" s="25">
        <f t="shared" ref="E41:O41" si="11">E19*420/100</f>
        <v>840</v>
      </c>
      <c r="F41" s="25">
        <f t="shared" si="11"/>
        <v>974.4</v>
      </c>
      <c r="G41" s="25">
        <f t="shared" si="11"/>
        <v>1285.2</v>
      </c>
      <c r="H41" s="25">
        <f t="shared" si="11"/>
        <v>1600.2</v>
      </c>
      <c r="I41" s="25">
        <f t="shared" si="11"/>
        <v>1911</v>
      </c>
      <c r="J41" s="25">
        <f t="shared" si="11"/>
        <v>2259.6</v>
      </c>
      <c r="K41" s="25">
        <f t="shared" si="11"/>
        <v>2604</v>
      </c>
      <c r="L41" s="25">
        <f t="shared" si="11"/>
        <v>2940</v>
      </c>
      <c r="M41" s="25">
        <f t="shared" si="11"/>
        <v>3263.4</v>
      </c>
      <c r="N41" s="25">
        <f t="shared" si="11"/>
        <v>3654</v>
      </c>
      <c r="O41" s="25">
        <f t="shared" si="11"/>
        <v>4032</v>
      </c>
    </row>
    <row r="42" spans="1:17" x14ac:dyDescent="0.25">
      <c r="A42" s="3">
        <v>100</v>
      </c>
      <c r="B42" s="25">
        <f t="shared" ref="B42:O42" si="12">B20*420/100</f>
        <v>105</v>
      </c>
      <c r="C42" s="25">
        <f t="shared" si="12"/>
        <v>378</v>
      </c>
      <c r="D42" s="25">
        <f t="shared" si="12"/>
        <v>655.20000000000005</v>
      </c>
      <c r="E42" s="25">
        <f t="shared" si="12"/>
        <v>806.4</v>
      </c>
      <c r="F42" s="25">
        <f t="shared" si="12"/>
        <v>945</v>
      </c>
      <c r="G42" s="25">
        <f t="shared" si="12"/>
        <v>1260</v>
      </c>
      <c r="H42" s="25">
        <f t="shared" si="12"/>
        <v>1575</v>
      </c>
      <c r="I42" s="25">
        <f t="shared" si="12"/>
        <v>1890</v>
      </c>
      <c r="J42" s="25">
        <f t="shared" si="12"/>
        <v>2205</v>
      </c>
      <c r="K42" s="25">
        <f t="shared" si="12"/>
        <v>2532.6</v>
      </c>
      <c r="L42" s="25">
        <f t="shared" si="12"/>
        <v>2847.6</v>
      </c>
      <c r="M42" s="25">
        <f t="shared" si="12"/>
        <v>3183.6</v>
      </c>
      <c r="N42" s="25">
        <f t="shared" si="12"/>
        <v>3519.6</v>
      </c>
      <c r="O42" s="25">
        <f t="shared" si="12"/>
        <v>3838.8</v>
      </c>
    </row>
    <row r="44" spans="1:17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</row>
    <row r="45" spans="1:17" ht="15.75" thickBot="1" x14ac:dyDescent="0.3">
      <c r="A45" s="52" t="s">
        <v>54</v>
      </c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</row>
    <row r="46" spans="1:17" ht="15.75" thickBot="1" x14ac:dyDescent="0.3">
      <c r="A46" s="47" t="s">
        <v>57</v>
      </c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9"/>
    </row>
    <row r="47" spans="1:17" x14ac:dyDescent="0.25">
      <c r="A47" s="42"/>
      <c r="B47" s="50" t="s">
        <v>0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1"/>
    </row>
    <row r="48" spans="1:17" ht="15.75" thickBot="1" x14ac:dyDescent="0.3">
      <c r="A48" s="19" t="s">
        <v>1</v>
      </c>
      <c r="B48" s="43">
        <v>100</v>
      </c>
      <c r="C48" s="43">
        <v>300</v>
      </c>
      <c r="D48" s="43">
        <v>500</v>
      </c>
      <c r="E48" s="43">
        <v>600</v>
      </c>
      <c r="F48" s="43">
        <v>700</v>
      </c>
      <c r="G48" s="43">
        <v>900</v>
      </c>
      <c r="H48" s="43">
        <v>1100</v>
      </c>
      <c r="I48" s="43">
        <v>1300</v>
      </c>
      <c r="J48" s="43">
        <v>1500</v>
      </c>
      <c r="K48" s="43">
        <v>1700</v>
      </c>
      <c r="L48" s="43">
        <v>1900</v>
      </c>
      <c r="M48" s="43">
        <v>2100</v>
      </c>
      <c r="N48" s="43">
        <v>2300</v>
      </c>
      <c r="O48" s="44">
        <v>2500</v>
      </c>
    </row>
    <row r="49" spans="1:15" x14ac:dyDescent="0.25">
      <c r="A49" s="40">
        <v>0</v>
      </c>
      <c r="B49" s="40">
        <v>38</v>
      </c>
      <c r="C49" s="40">
        <v>110</v>
      </c>
      <c r="D49" s="40">
        <v>175</v>
      </c>
      <c r="E49" s="40">
        <v>218</v>
      </c>
      <c r="F49" s="40">
        <v>260</v>
      </c>
      <c r="G49" s="40">
        <v>337</v>
      </c>
      <c r="H49" s="40">
        <v>423</v>
      </c>
      <c r="I49" s="40">
        <v>512</v>
      </c>
      <c r="J49" s="40">
        <v>605</v>
      </c>
      <c r="K49" s="40">
        <v>687</v>
      </c>
      <c r="L49" s="40">
        <v>780</v>
      </c>
      <c r="M49" s="40">
        <v>876</v>
      </c>
      <c r="N49" s="40">
        <v>974</v>
      </c>
      <c r="O49" s="40">
        <v>1062</v>
      </c>
    </row>
    <row r="50" spans="1:15" x14ac:dyDescent="0.25">
      <c r="A50" s="3">
        <v>20</v>
      </c>
      <c r="B50" s="39"/>
      <c r="C50" s="39"/>
      <c r="D50" s="39"/>
      <c r="E50" s="3">
        <v>215</v>
      </c>
      <c r="F50" s="3">
        <v>250</v>
      </c>
      <c r="G50" s="3">
        <v>330</v>
      </c>
      <c r="H50" s="3">
        <v>412</v>
      </c>
      <c r="I50" s="3">
        <v>500</v>
      </c>
      <c r="J50" s="3">
        <v>600</v>
      </c>
      <c r="K50" s="3">
        <v>675</v>
      </c>
      <c r="L50" s="3">
        <v>763</v>
      </c>
      <c r="M50" s="3">
        <v>850</v>
      </c>
      <c r="N50" s="3">
        <v>938</v>
      </c>
      <c r="O50" s="3">
        <v>1035</v>
      </c>
    </row>
    <row r="51" spans="1:15" x14ac:dyDescent="0.25">
      <c r="A51" s="3">
        <v>40</v>
      </c>
      <c r="B51" s="39"/>
      <c r="C51" s="39"/>
      <c r="D51" s="39"/>
      <c r="E51" s="3">
        <v>212</v>
      </c>
      <c r="F51" s="3">
        <v>248</v>
      </c>
      <c r="G51" s="3">
        <v>325</v>
      </c>
      <c r="H51" s="3">
        <v>400</v>
      </c>
      <c r="I51" s="3">
        <v>479</v>
      </c>
      <c r="J51" s="3">
        <v>575</v>
      </c>
      <c r="K51" s="3">
        <v>689</v>
      </c>
      <c r="L51" s="3">
        <v>747</v>
      </c>
      <c r="M51" s="3">
        <v>827</v>
      </c>
      <c r="N51" s="3">
        <v>920</v>
      </c>
      <c r="O51" s="3">
        <v>1002</v>
      </c>
    </row>
    <row r="52" spans="1:15" x14ac:dyDescent="0.25">
      <c r="A52" s="3">
        <v>60</v>
      </c>
      <c r="B52" s="39"/>
      <c r="C52" s="39"/>
      <c r="D52" s="39"/>
      <c r="E52" s="3">
        <v>205</v>
      </c>
      <c r="F52" s="3">
        <v>245</v>
      </c>
      <c r="G52" s="3">
        <v>312</v>
      </c>
      <c r="H52" s="3">
        <v>390</v>
      </c>
      <c r="I52" s="3">
        <v>473</v>
      </c>
      <c r="J52" s="3">
        <v>560</v>
      </c>
      <c r="K52" s="3">
        <v>623</v>
      </c>
      <c r="L52" s="3">
        <v>725</v>
      </c>
      <c r="M52" s="3">
        <v>802</v>
      </c>
      <c r="N52" s="3">
        <v>887</v>
      </c>
      <c r="O52" s="3">
        <v>975</v>
      </c>
    </row>
    <row r="53" spans="1:15" x14ac:dyDescent="0.25">
      <c r="A53" s="3">
        <v>80</v>
      </c>
      <c r="B53" s="39"/>
      <c r="C53" s="39"/>
      <c r="D53" s="39"/>
      <c r="E53" s="3">
        <v>200</v>
      </c>
      <c r="F53" s="3">
        <v>237</v>
      </c>
      <c r="G53" s="3">
        <v>306</v>
      </c>
      <c r="H53" s="3">
        <v>384</v>
      </c>
      <c r="I53" s="3">
        <v>458</v>
      </c>
      <c r="J53" s="3">
        <v>530</v>
      </c>
      <c r="K53" s="3">
        <v>623</v>
      </c>
      <c r="L53" s="3">
        <v>700</v>
      </c>
      <c r="M53" s="3">
        <v>777</v>
      </c>
      <c r="N53" s="3">
        <v>862</v>
      </c>
      <c r="O53" s="3">
        <v>948</v>
      </c>
    </row>
    <row r="54" spans="1:15" x14ac:dyDescent="0.25">
      <c r="A54" s="3">
        <v>100</v>
      </c>
      <c r="B54" s="3">
        <v>37</v>
      </c>
      <c r="C54" s="3">
        <v>100</v>
      </c>
      <c r="D54" s="3">
        <v>160</v>
      </c>
      <c r="E54" s="3">
        <v>198</v>
      </c>
      <c r="F54" s="3">
        <v>227</v>
      </c>
      <c r="G54" s="3">
        <v>300</v>
      </c>
      <c r="H54" s="3">
        <v>375</v>
      </c>
      <c r="I54" s="3">
        <v>449</v>
      </c>
      <c r="J54" s="3">
        <v>525</v>
      </c>
      <c r="K54" s="3">
        <v>600</v>
      </c>
      <c r="L54" s="3">
        <v>676</v>
      </c>
      <c r="M54" s="3">
        <v>754</v>
      </c>
      <c r="N54" s="3">
        <v>837</v>
      </c>
      <c r="O54" s="3">
        <v>913</v>
      </c>
    </row>
    <row r="56" spans="1:15" ht="15.75" thickBot="1" x14ac:dyDescent="0.3"/>
    <row r="57" spans="1:15" ht="15.75" thickBot="1" x14ac:dyDescent="0.3">
      <c r="A57" s="47" t="s">
        <v>58</v>
      </c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9"/>
    </row>
    <row r="58" spans="1:15" x14ac:dyDescent="0.25">
      <c r="A58" s="42"/>
      <c r="B58" s="50" t="s">
        <v>0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1"/>
    </row>
    <row r="59" spans="1:15" ht="15.75" thickBot="1" x14ac:dyDescent="0.3">
      <c r="A59" s="19" t="s">
        <v>1</v>
      </c>
      <c r="B59" s="43">
        <v>100</v>
      </c>
      <c r="C59" s="43">
        <v>300</v>
      </c>
      <c r="D59" s="43">
        <v>500</v>
      </c>
      <c r="E59" s="43">
        <v>600</v>
      </c>
      <c r="F59" s="43">
        <v>700</v>
      </c>
      <c r="G59" s="43">
        <v>900</v>
      </c>
      <c r="H59" s="43">
        <v>1100</v>
      </c>
      <c r="I59" s="43">
        <v>1300</v>
      </c>
      <c r="J59" s="43">
        <v>1500</v>
      </c>
      <c r="K59" s="43">
        <v>1700</v>
      </c>
      <c r="L59" s="43">
        <v>1900</v>
      </c>
      <c r="M59" s="43">
        <v>2100</v>
      </c>
      <c r="N59" s="43">
        <v>2300</v>
      </c>
      <c r="O59" s="44">
        <v>2500</v>
      </c>
    </row>
    <row r="60" spans="1:15" x14ac:dyDescent="0.25">
      <c r="A60" s="40">
        <v>0</v>
      </c>
      <c r="B60" s="40">
        <v>26</v>
      </c>
      <c r="C60" s="40">
        <v>100</v>
      </c>
      <c r="D60" s="40">
        <v>175</v>
      </c>
      <c r="E60" s="40">
        <v>212</v>
      </c>
      <c r="F60" s="40">
        <v>250</v>
      </c>
      <c r="G60" s="40">
        <v>330</v>
      </c>
      <c r="H60" s="40">
        <v>412</v>
      </c>
      <c r="I60" s="40">
        <v>490</v>
      </c>
      <c r="J60" s="40">
        <v>580</v>
      </c>
      <c r="K60" s="40">
        <v>670</v>
      </c>
      <c r="L60" s="40">
        <v>755</v>
      </c>
      <c r="M60" s="40">
        <v>846</v>
      </c>
      <c r="N60" s="40">
        <v>935</v>
      </c>
      <c r="O60" s="40">
        <v>1025</v>
      </c>
    </row>
    <row r="61" spans="1:15" x14ac:dyDescent="0.25">
      <c r="A61" s="3">
        <v>20</v>
      </c>
      <c r="B61" s="39"/>
      <c r="C61" s="39"/>
      <c r="D61" s="39"/>
      <c r="E61" s="3">
        <v>210</v>
      </c>
      <c r="F61" s="3">
        <v>246</v>
      </c>
      <c r="G61" s="3">
        <v>325</v>
      </c>
      <c r="H61" s="3">
        <v>406</v>
      </c>
      <c r="I61" s="3">
        <v>480</v>
      </c>
      <c r="J61" s="3">
        <v>570</v>
      </c>
      <c r="K61" s="3">
        <v>650</v>
      </c>
      <c r="L61" s="3">
        <v>737</v>
      </c>
      <c r="M61" s="3">
        <v>825</v>
      </c>
      <c r="N61" s="3">
        <v>913</v>
      </c>
      <c r="O61" s="3">
        <v>1000</v>
      </c>
    </row>
    <row r="62" spans="1:15" x14ac:dyDescent="0.25">
      <c r="A62" s="3">
        <v>40</v>
      </c>
      <c r="B62" s="39"/>
      <c r="C62" s="39"/>
      <c r="D62" s="39"/>
      <c r="E62" s="3">
        <v>205</v>
      </c>
      <c r="F62" s="3">
        <v>242</v>
      </c>
      <c r="G62" s="3">
        <v>319</v>
      </c>
      <c r="H62" s="3">
        <v>400</v>
      </c>
      <c r="I62" s="3">
        <v>475</v>
      </c>
      <c r="J62" s="3">
        <v>555</v>
      </c>
      <c r="K62" s="3">
        <v>640</v>
      </c>
      <c r="L62" s="3">
        <v>725</v>
      </c>
      <c r="M62" s="3">
        <v>810</v>
      </c>
      <c r="N62" s="3">
        <v>890</v>
      </c>
      <c r="O62" s="3">
        <v>976</v>
      </c>
    </row>
    <row r="63" spans="1:15" x14ac:dyDescent="0.25">
      <c r="A63" s="3">
        <v>60</v>
      </c>
      <c r="B63" s="39"/>
      <c r="C63" s="39"/>
      <c r="D63" s="39"/>
      <c r="E63" s="3">
        <v>201</v>
      </c>
      <c r="F63" s="3">
        <v>238</v>
      </c>
      <c r="G63" s="3">
        <v>312</v>
      </c>
      <c r="H63" s="3">
        <v>388</v>
      </c>
      <c r="I63" s="3">
        <v>470</v>
      </c>
      <c r="J63" s="3">
        <v>545</v>
      </c>
      <c r="K63" s="3">
        <v>625</v>
      </c>
      <c r="L63" s="3">
        <v>710</v>
      </c>
      <c r="M63" s="3">
        <v>790</v>
      </c>
      <c r="N63" s="3">
        <v>875</v>
      </c>
      <c r="O63" s="3">
        <v>952</v>
      </c>
    </row>
    <row r="64" spans="1:15" x14ac:dyDescent="0.25">
      <c r="A64" s="3">
        <v>80</v>
      </c>
      <c r="B64" s="39"/>
      <c r="C64" s="39"/>
      <c r="D64" s="39"/>
      <c r="E64" s="3">
        <v>200</v>
      </c>
      <c r="F64" s="3">
        <v>232</v>
      </c>
      <c r="G64" s="3">
        <v>306</v>
      </c>
      <c r="H64" s="3">
        <v>381</v>
      </c>
      <c r="I64" s="3">
        <v>455</v>
      </c>
      <c r="J64" s="3">
        <v>538</v>
      </c>
      <c r="K64" s="3">
        <v>620</v>
      </c>
      <c r="L64" s="3">
        <v>698</v>
      </c>
      <c r="M64" s="3">
        <v>775</v>
      </c>
      <c r="N64" s="3">
        <v>850</v>
      </c>
      <c r="O64" s="3">
        <v>933</v>
      </c>
    </row>
    <row r="65" spans="1:15" x14ac:dyDescent="0.25">
      <c r="A65" s="3">
        <v>100</v>
      </c>
      <c r="B65" s="3">
        <v>25</v>
      </c>
      <c r="C65" s="3">
        <v>90</v>
      </c>
      <c r="D65" s="3">
        <v>156</v>
      </c>
      <c r="E65" s="3">
        <v>192</v>
      </c>
      <c r="F65" s="3">
        <v>225</v>
      </c>
      <c r="G65" s="3">
        <v>300</v>
      </c>
      <c r="H65" s="3">
        <v>375</v>
      </c>
      <c r="I65" s="3">
        <v>450</v>
      </c>
      <c r="J65" s="3">
        <v>525</v>
      </c>
      <c r="K65" s="3">
        <v>603</v>
      </c>
      <c r="L65" s="3">
        <v>678</v>
      </c>
      <c r="M65" s="3">
        <v>758</v>
      </c>
      <c r="N65" s="3">
        <v>838</v>
      </c>
      <c r="O65" s="3">
        <v>914</v>
      </c>
    </row>
    <row r="67" spans="1:15" ht="15.75" thickBot="1" x14ac:dyDescent="0.3"/>
    <row r="68" spans="1:15" ht="15.75" thickBot="1" x14ac:dyDescent="0.3">
      <c r="A68" s="47" t="s">
        <v>57</v>
      </c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9"/>
    </row>
    <row r="69" spans="1:15" x14ac:dyDescent="0.25">
      <c r="A69" s="42"/>
      <c r="B69" s="50" t="s">
        <v>0</v>
      </c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1"/>
    </row>
    <row r="70" spans="1:15" ht="15.75" thickBot="1" x14ac:dyDescent="0.3">
      <c r="A70" s="19" t="s">
        <v>2</v>
      </c>
      <c r="B70" s="43">
        <v>100</v>
      </c>
      <c r="C70" s="43">
        <v>300</v>
      </c>
      <c r="D70" s="43">
        <v>500</v>
      </c>
      <c r="E70" s="43">
        <v>600</v>
      </c>
      <c r="F70" s="43">
        <v>700</v>
      </c>
      <c r="G70" s="43">
        <v>900</v>
      </c>
      <c r="H70" s="43">
        <v>1100</v>
      </c>
      <c r="I70" s="43">
        <v>1300</v>
      </c>
      <c r="J70" s="43">
        <v>1500</v>
      </c>
      <c r="K70" s="43">
        <v>1700</v>
      </c>
      <c r="L70" s="43">
        <v>1900</v>
      </c>
      <c r="M70" s="43">
        <v>2100</v>
      </c>
      <c r="N70" s="43">
        <v>2300</v>
      </c>
      <c r="O70" s="44">
        <v>2500</v>
      </c>
    </row>
    <row r="71" spans="1:15" x14ac:dyDescent="0.25">
      <c r="A71" s="40">
        <v>0</v>
      </c>
      <c r="B71" s="41">
        <f t="shared" ref="B71:O71" si="13">B49*420/100</f>
        <v>159.6</v>
      </c>
      <c r="C71" s="41">
        <f t="shared" si="13"/>
        <v>462</v>
      </c>
      <c r="D71" s="41">
        <f t="shared" si="13"/>
        <v>735</v>
      </c>
      <c r="E71" s="41">
        <f t="shared" si="13"/>
        <v>915.6</v>
      </c>
      <c r="F71" s="41">
        <f t="shared" si="13"/>
        <v>1092</v>
      </c>
      <c r="G71" s="41">
        <f t="shared" si="13"/>
        <v>1415.4</v>
      </c>
      <c r="H71" s="41">
        <f t="shared" si="13"/>
        <v>1776.6</v>
      </c>
      <c r="I71" s="41">
        <f t="shared" si="13"/>
        <v>2150.4</v>
      </c>
      <c r="J71" s="41">
        <f t="shared" si="13"/>
        <v>2541</v>
      </c>
      <c r="K71" s="41">
        <f t="shared" si="13"/>
        <v>2885.4</v>
      </c>
      <c r="L71" s="41">
        <f t="shared" si="13"/>
        <v>3276</v>
      </c>
      <c r="M71" s="41">
        <f t="shared" si="13"/>
        <v>3679.2</v>
      </c>
      <c r="N71" s="41">
        <f t="shared" si="13"/>
        <v>4090.8</v>
      </c>
      <c r="O71" s="41">
        <f t="shared" si="13"/>
        <v>4460.3999999999996</v>
      </c>
    </row>
    <row r="72" spans="1:15" x14ac:dyDescent="0.25">
      <c r="A72" s="3">
        <v>20</v>
      </c>
      <c r="B72" s="39"/>
      <c r="C72" s="39"/>
      <c r="D72" s="39"/>
      <c r="E72" s="25">
        <f t="shared" ref="E72:O72" si="14">E50*420/100</f>
        <v>903</v>
      </c>
      <c r="F72" s="25">
        <f t="shared" si="14"/>
        <v>1050</v>
      </c>
      <c r="G72" s="25">
        <f t="shared" si="14"/>
        <v>1386</v>
      </c>
      <c r="H72" s="25">
        <f t="shared" si="14"/>
        <v>1730.4</v>
      </c>
      <c r="I72" s="25">
        <f t="shared" si="14"/>
        <v>2100</v>
      </c>
      <c r="J72" s="25">
        <f t="shared" si="14"/>
        <v>2520</v>
      </c>
      <c r="K72" s="25">
        <f t="shared" si="14"/>
        <v>2835</v>
      </c>
      <c r="L72" s="25">
        <f t="shared" si="14"/>
        <v>3204.6</v>
      </c>
      <c r="M72" s="25">
        <f t="shared" si="14"/>
        <v>3570</v>
      </c>
      <c r="N72" s="25">
        <f t="shared" si="14"/>
        <v>3939.6</v>
      </c>
      <c r="O72" s="25">
        <f t="shared" si="14"/>
        <v>4347</v>
      </c>
    </row>
    <row r="73" spans="1:15" x14ac:dyDescent="0.25">
      <c r="A73" s="3">
        <v>40</v>
      </c>
      <c r="B73" s="39"/>
      <c r="C73" s="39"/>
      <c r="D73" s="39"/>
      <c r="E73" s="25">
        <f t="shared" ref="E73:O73" si="15">E51*420/100</f>
        <v>890.4</v>
      </c>
      <c r="F73" s="25">
        <f t="shared" si="15"/>
        <v>1041.5999999999999</v>
      </c>
      <c r="G73" s="25">
        <f t="shared" si="15"/>
        <v>1365</v>
      </c>
      <c r="H73" s="25">
        <f t="shared" si="15"/>
        <v>1680</v>
      </c>
      <c r="I73" s="25">
        <f t="shared" si="15"/>
        <v>2011.8</v>
      </c>
      <c r="J73" s="25">
        <f t="shared" si="15"/>
        <v>2415</v>
      </c>
      <c r="K73" s="25">
        <f t="shared" si="15"/>
        <v>2893.8</v>
      </c>
      <c r="L73" s="25">
        <f t="shared" si="15"/>
        <v>3137.4</v>
      </c>
      <c r="M73" s="25">
        <f t="shared" si="15"/>
        <v>3473.4</v>
      </c>
      <c r="N73" s="25">
        <f t="shared" si="15"/>
        <v>3864</v>
      </c>
      <c r="O73" s="25">
        <f t="shared" si="15"/>
        <v>4208.3999999999996</v>
      </c>
    </row>
    <row r="74" spans="1:15" x14ac:dyDescent="0.25">
      <c r="A74" s="3">
        <v>60</v>
      </c>
      <c r="B74" s="39"/>
      <c r="C74" s="39"/>
      <c r="D74" s="39"/>
      <c r="E74" s="25">
        <f t="shared" ref="E74:O74" si="16">E52*420/100</f>
        <v>861</v>
      </c>
      <c r="F74" s="25">
        <f t="shared" si="16"/>
        <v>1029</v>
      </c>
      <c r="G74" s="25">
        <f t="shared" si="16"/>
        <v>1310.4000000000001</v>
      </c>
      <c r="H74" s="25">
        <f t="shared" si="16"/>
        <v>1638</v>
      </c>
      <c r="I74" s="25">
        <f t="shared" si="16"/>
        <v>1986.6</v>
      </c>
      <c r="J74" s="25">
        <f t="shared" si="16"/>
        <v>2352</v>
      </c>
      <c r="K74" s="25">
        <f t="shared" si="16"/>
        <v>2616.6</v>
      </c>
      <c r="L74" s="25">
        <f t="shared" si="16"/>
        <v>3045</v>
      </c>
      <c r="M74" s="25">
        <f t="shared" si="16"/>
        <v>3368.4</v>
      </c>
      <c r="N74" s="25">
        <f t="shared" si="16"/>
        <v>3725.4</v>
      </c>
      <c r="O74" s="25">
        <f t="shared" si="16"/>
        <v>4095</v>
      </c>
    </row>
    <row r="75" spans="1:15" x14ac:dyDescent="0.25">
      <c r="A75" s="3">
        <v>80</v>
      </c>
      <c r="B75" s="39"/>
      <c r="C75" s="39"/>
      <c r="D75" s="39"/>
      <c r="E75" s="25">
        <f t="shared" ref="E75:O75" si="17">E53*420/100</f>
        <v>840</v>
      </c>
      <c r="F75" s="25">
        <f t="shared" si="17"/>
        <v>995.4</v>
      </c>
      <c r="G75" s="25">
        <f t="shared" si="17"/>
        <v>1285.2</v>
      </c>
      <c r="H75" s="25">
        <f t="shared" si="17"/>
        <v>1612.8</v>
      </c>
      <c r="I75" s="25">
        <f t="shared" si="17"/>
        <v>1923.6</v>
      </c>
      <c r="J75" s="25">
        <f t="shared" si="17"/>
        <v>2226</v>
      </c>
      <c r="K75" s="25">
        <f t="shared" si="17"/>
        <v>2616.6</v>
      </c>
      <c r="L75" s="25">
        <f t="shared" si="17"/>
        <v>2940</v>
      </c>
      <c r="M75" s="25">
        <f t="shared" si="17"/>
        <v>3263.4</v>
      </c>
      <c r="N75" s="25">
        <f t="shared" si="17"/>
        <v>3620.4</v>
      </c>
      <c r="O75" s="25">
        <f t="shared" si="17"/>
        <v>3981.6</v>
      </c>
    </row>
    <row r="76" spans="1:15" x14ac:dyDescent="0.25">
      <c r="A76" s="3">
        <v>100</v>
      </c>
      <c r="B76" s="25">
        <f t="shared" ref="B76" si="18">B54*420/100</f>
        <v>155.4</v>
      </c>
      <c r="C76" s="25">
        <f>C54*420/100</f>
        <v>420</v>
      </c>
      <c r="D76" s="25">
        <f>D54*420/100</f>
        <v>672</v>
      </c>
      <c r="E76" s="25">
        <f t="shared" ref="E76:O76" si="19">E54*420/100</f>
        <v>831.6</v>
      </c>
      <c r="F76" s="25">
        <f t="shared" si="19"/>
        <v>953.4</v>
      </c>
      <c r="G76" s="25">
        <f t="shared" si="19"/>
        <v>1260</v>
      </c>
      <c r="H76" s="25">
        <f t="shared" si="19"/>
        <v>1575</v>
      </c>
      <c r="I76" s="25">
        <f t="shared" si="19"/>
        <v>1885.8</v>
      </c>
      <c r="J76" s="25">
        <f t="shared" si="19"/>
        <v>2205</v>
      </c>
      <c r="K76" s="25">
        <f t="shared" si="19"/>
        <v>2520</v>
      </c>
      <c r="L76" s="25">
        <f t="shared" si="19"/>
        <v>2839.2</v>
      </c>
      <c r="M76" s="25">
        <f t="shared" si="19"/>
        <v>3166.8</v>
      </c>
      <c r="N76" s="25">
        <f t="shared" si="19"/>
        <v>3515.4</v>
      </c>
      <c r="O76" s="25">
        <f t="shared" si="19"/>
        <v>3834.6</v>
      </c>
    </row>
    <row r="78" spans="1:15" ht="15.75" thickBot="1" x14ac:dyDescent="0.3"/>
    <row r="79" spans="1:15" ht="15.75" thickBot="1" x14ac:dyDescent="0.3">
      <c r="A79" s="47" t="s">
        <v>58</v>
      </c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9"/>
    </row>
    <row r="80" spans="1:15" x14ac:dyDescent="0.25">
      <c r="A80" s="42"/>
      <c r="B80" s="50" t="s">
        <v>0</v>
      </c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1"/>
    </row>
    <row r="81" spans="1:15" ht="15.75" thickBot="1" x14ac:dyDescent="0.3">
      <c r="A81" s="19" t="s">
        <v>2</v>
      </c>
      <c r="B81" s="43">
        <v>100</v>
      </c>
      <c r="C81" s="43">
        <v>300</v>
      </c>
      <c r="D81" s="43">
        <v>500</v>
      </c>
      <c r="E81" s="43">
        <v>600</v>
      </c>
      <c r="F81" s="43">
        <v>700</v>
      </c>
      <c r="G81" s="43">
        <v>900</v>
      </c>
      <c r="H81" s="43">
        <v>1100</v>
      </c>
      <c r="I81" s="43">
        <v>1300</v>
      </c>
      <c r="J81" s="43">
        <v>1500</v>
      </c>
      <c r="K81" s="43">
        <v>1700</v>
      </c>
      <c r="L81" s="43">
        <v>1900</v>
      </c>
      <c r="M81" s="43">
        <v>2100</v>
      </c>
      <c r="N81" s="43">
        <v>2300</v>
      </c>
      <c r="O81" s="44">
        <v>2500</v>
      </c>
    </row>
    <row r="82" spans="1:15" x14ac:dyDescent="0.25">
      <c r="A82" s="40">
        <v>0</v>
      </c>
      <c r="B82" s="41">
        <f>B60*420/100</f>
        <v>109.2</v>
      </c>
      <c r="C82" s="41">
        <f t="shared" ref="C82:O82" si="20">C60*420/100</f>
        <v>420</v>
      </c>
      <c r="D82" s="41">
        <f t="shared" si="20"/>
        <v>735</v>
      </c>
      <c r="E82" s="41">
        <f t="shared" si="20"/>
        <v>890.4</v>
      </c>
      <c r="F82" s="41">
        <f t="shared" si="20"/>
        <v>1050</v>
      </c>
      <c r="G82" s="41">
        <f t="shared" si="20"/>
        <v>1386</v>
      </c>
      <c r="H82" s="41">
        <f t="shared" si="20"/>
        <v>1730.4</v>
      </c>
      <c r="I82" s="41">
        <f t="shared" si="20"/>
        <v>2058</v>
      </c>
      <c r="J82" s="41">
        <f t="shared" si="20"/>
        <v>2436</v>
      </c>
      <c r="K82" s="41">
        <f t="shared" si="20"/>
        <v>2814</v>
      </c>
      <c r="L82" s="41">
        <f t="shared" si="20"/>
        <v>3171</v>
      </c>
      <c r="M82" s="41">
        <f t="shared" si="20"/>
        <v>3553.2</v>
      </c>
      <c r="N82" s="41">
        <f t="shared" si="20"/>
        <v>3927</v>
      </c>
      <c r="O82" s="41">
        <f t="shared" si="20"/>
        <v>4305</v>
      </c>
    </row>
    <row r="83" spans="1:15" x14ac:dyDescent="0.25">
      <c r="A83" s="3">
        <v>20</v>
      </c>
      <c r="B83" s="39"/>
      <c r="C83" s="39"/>
      <c r="D83" s="39"/>
      <c r="E83" s="25">
        <f t="shared" ref="E83:O83" si="21">E61*420/100</f>
        <v>882</v>
      </c>
      <c r="F83" s="25">
        <f t="shared" si="21"/>
        <v>1033.2</v>
      </c>
      <c r="G83" s="25">
        <f t="shared" si="21"/>
        <v>1365</v>
      </c>
      <c r="H83" s="25">
        <f t="shared" si="21"/>
        <v>1705.2</v>
      </c>
      <c r="I83" s="25">
        <f t="shared" si="21"/>
        <v>2016</v>
      </c>
      <c r="J83" s="25">
        <f t="shared" si="21"/>
        <v>2394</v>
      </c>
      <c r="K83" s="25">
        <f t="shared" si="21"/>
        <v>2730</v>
      </c>
      <c r="L83" s="25">
        <f t="shared" si="21"/>
        <v>3095.4</v>
      </c>
      <c r="M83" s="25">
        <f t="shared" si="21"/>
        <v>3465</v>
      </c>
      <c r="N83" s="25">
        <f t="shared" si="21"/>
        <v>3834.6</v>
      </c>
      <c r="O83" s="25">
        <f t="shared" si="21"/>
        <v>4200</v>
      </c>
    </row>
    <row r="84" spans="1:15" x14ac:dyDescent="0.25">
      <c r="A84" s="3">
        <v>40</v>
      </c>
      <c r="B84" s="39"/>
      <c r="C84" s="39"/>
      <c r="D84" s="39"/>
      <c r="E84" s="25">
        <f t="shared" ref="E84:O84" si="22">E62*420/100</f>
        <v>861</v>
      </c>
      <c r="F84" s="25">
        <f t="shared" si="22"/>
        <v>1016.4</v>
      </c>
      <c r="G84" s="25">
        <f t="shared" si="22"/>
        <v>1339.8</v>
      </c>
      <c r="H84" s="25">
        <f t="shared" si="22"/>
        <v>1680</v>
      </c>
      <c r="I84" s="25">
        <f t="shared" si="22"/>
        <v>1995</v>
      </c>
      <c r="J84" s="25">
        <f t="shared" si="22"/>
        <v>2331</v>
      </c>
      <c r="K84" s="25">
        <f t="shared" si="22"/>
        <v>2688</v>
      </c>
      <c r="L84" s="25">
        <f t="shared" si="22"/>
        <v>3045</v>
      </c>
      <c r="M84" s="25">
        <f t="shared" si="22"/>
        <v>3402</v>
      </c>
      <c r="N84" s="25">
        <f t="shared" si="22"/>
        <v>3738</v>
      </c>
      <c r="O84" s="25">
        <f t="shared" si="22"/>
        <v>4099.2</v>
      </c>
    </row>
    <row r="85" spans="1:15" x14ac:dyDescent="0.25">
      <c r="A85" s="3">
        <v>60</v>
      </c>
      <c r="B85" s="39"/>
      <c r="C85" s="39"/>
      <c r="D85" s="39"/>
      <c r="E85" s="25">
        <f t="shared" ref="E85:O85" si="23">E63*420/100</f>
        <v>844.2</v>
      </c>
      <c r="F85" s="25">
        <f t="shared" si="23"/>
        <v>999.6</v>
      </c>
      <c r="G85" s="25">
        <f t="shared" si="23"/>
        <v>1310.4000000000001</v>
      </c>
      <c r="H85" s="25">
        <f t="shared" si="23"/>
        <v>1629.6</v>
      </c>
      <c r="I85" s="25">
        <f t="shared" si="23"/>
        <v>1974</v>
      </c>
      <c r="J85" s="25">
        <f t="shared" si="23"/>
        <v>2289</v>
      </c>
      <c r="K85" s="25">
        <f t="shared" si="23"/>
        <v>2625</v>
      </c>
      <c r="L85" s="25">
        <f t="shared" si="23"/>
        <v>2982</v>
      </c>
      <c r="M85" s="25">
        <f t="shared" si="23"/>
        <v>3318</v>
      </c>
      <c r="N85" s="25">
        <f t="shared" si="23"/>
        <v>3675</v>
      </c>
      <c r="O85" s="25">
        <f t="shared" si="23"/>
        <v>3998.4</v>
      </c>
    </row>
    <row r="86" spans="1:15" x14ac:dyDescent="0.25">
      <c r="A86" s="3">
        <v>80</v>
      </c>
      <c r="B86" s="39"/>
      <c r="C86" s="39"/>
      <c r="D86" s="39"/>
      <c r="E86" s="25">
        <f t="shared" ref="E86:O86" si="24">E64*420/100</f>
        <v>840</v>
      </c>
      <c r="F86" s="25">
        <f t="shared" si="24"/>
        <v>974.4</v>
      </c>
      <c r="G86" s="25">
        <f t="shared" si="24"/>
        <v>1285.2</v>
      </c>
      <c r="H86" s="25">
        <f t="shared" si="24"/>
        <v>1600.2</v>
      </c>
      <c r="I86" s="25">
        <f t="shared" si="24"/>
        <v>1911</v>
      </c>
      <c r="J86" s="25">
        <f t="shared" si="24"/>
        <v>2259.6</v>
      </c>
      <c r="K86" s="25">
        <f t="shared" si="24"/>
        <v>2604</v>
      </c>
      <c r="L86" s="25">
        <f t="shared" si="24"/>
        <v>2931.6</v>
      </c>
      <c r="M86" s="25">
        <f t="shared" si="24"/>
        <v>3255</v>
      </c>
      <c r="N86" s="25">
        <f t="shared" si="24"/>
        <v>3570</v>
      </c>
      <c r="O86" s="25">
        <f t="shared" si="24"/>
        <v>3918.6</v>
      </c>
    </row>
    <row r="87" spans="1:15" x14ac:dyDescent="0.25">
      <c r="A87" s="3">
        <v>100</v>
      </c>
      <c r="B87" s="25">
        <f t="shared" ref="B87:O87" si="25">B65*420/100</f>
        <v>105</v>
      </c>
      <c r="C87" s="25">
        <f t="shared" si="25"/>
        <v>378</v>
      </c>
      <c r="D87" s="25">
        <f t="shared" si="25"/>
        <v>655.20000000000005</v>
      </c>
      <c r="E87" s="25">
        <f t="shared" si="25"/>
        <v>806.4</v>
      </c>
      <c r="F87" s="25">
        <f t="shared" si="25"/>
        <v>945</v>
      </c>
      <c r="G87" s="25">
        <f t="shared" si="25"/>
        <v>1260</v>
      </c>
      <c r="H87" s="25">
        <f t="shared" si="25"/>
        <v>1575</v>
      </c>
      <c r="I87" s="25">
        <f t="shared" si="25"/>
        <v>1890</v>
      </c>
      <c r="J87" s="25">
        <f t="shared" si="25"/>
        <v>2205</v>
      </c>
      <c r="K87" s="25">
        <f t="shared" si="25"/>
        <v>2532.6</v>
      </c>
      <c r="L87" s="25">
        <f t="shared" si="25"/>
        <v>2847.6</v>
      </c>
      <c r="M87" s="25">
        <f t="shared" si="25"/>
        <v>3183.6</v>
      </c>
      <c r="N87" s="25">
        <f t="shared" si="25"/>
        <v>3519.6</v>
      </c>
      <c r="O87" s="25">
        <f t="shared" si="25"/>
        <v>3838.8</v>
      </c>
    </row>
  </sheetData>
  <mergeCells count="17">
    <mergeCell ref="B69:O69"/>
    <mergeCell ref="A79:O79"/>
    <mergeCell ref="B80:O80"/>
    <mergeCell ref="A45:O45"/>
    <mergeCell ref="A46:O46"/>
    <mergeCell ref="B47:O47"/>
    <mergeCell ref="A57:O57"/>
    <mergeCell ref="B58:O58"/>
    <mergeCell ref="A68:O68"/>
    <mergeCell ref="A1:O1"/>
    <mergeCell ref="A23:O23"/>
    <mergeCell ref="B24:O24"/>
    <mergeCell ref="A34:O34"/>
    <mergeCell ref="B35:O35"/>
    <mergeCell ref="B2:O2"/>
    <mergeCell ref="B13:O13"/>
    <mergeCell ref="A12:O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CA609-4BB5-466E-B285-8863DACDF98B}">
  <sheetPr codeName="Лист2"/>
  <dimension ref="A1:AI68"/>
  <sheetViews>
    <sheetView tabSelected="1" topLeftCell="A4" zoomScale="115" zoomScaleNormal="115" workbookViewId="0">
      <selection activeCell="J24" activeCellId="1" sqref="H26:H29 J24"/>
    </sheetView>
  </sheetViews>
  <sheetFormatPr defaultRowHeight="15" x14ac:dyDescent="0.25"/>
  <cols>
    <col min="1" max="1" width="13.42578125" customWidth="1"/>
    <col min="2" max="2" width="26.5703125" customWidth="1"/>
    <col min="3" max="3" width="25.5703125" customWidth="1"/>
    <col min="4" max="4" width="29" customWidth="1"/>
    <col min="5" max="5" width="26" customWidth="1"/>
    <col min="6" max="6" width="30" customWidth="1"/>
    <col min="7" max="7" width="17.28515625" customWidth="1"/>
    <col min="8" max="8" width="9.140625" customWidth="1"/>
    <col min="16" max="30" width="9.85546875" customWidth="1"/>
    <col min="31" max="31" width="12.85546875" customWidth="1"/>
    <col min="32" max="32" width="12.140625" customWidth="1"/>
    <col min="33" max="33" width="11.7109375" customWidth="1"/>
  </cols>
  <sheetData>
    <row r="1" spans="1:35" ht="60" x14ac:dyDescent="0.25">
      <c r="A1" s="53" t="s">
        <v>3</v>
      </c>
      <c r="B1" s="53"/>
      <c r="E1" s="54" t="s">
        <v>18</v>
      </c>
      <c r="F1" s="54"/>
      <c r="O1" s="9" t="s">
        <v>109</v>
      </c>
      <c r="P1" s="9" t="s">
        <v>92</v>
      </c>
      <c r="Q1" s="9" t="s">
        <v>93</v>
      </c>
      <c r="R1" s="9" t="s">
        <v>94</v>
      </c>
      <c r="S1" s="9" t="s">
        <v>95</v>
      </c>
      <c r="T1" s="9" t="s">
        <v>96</v>
      </c>
      <c r="U1" s="9" t="s">
        <v>97</v>
      </c>
      <c r="V1" s="9" t="s">
        <v>98</v>
      </c>
      <c r="W1" s="9" t="s">
        <v>99</v>
      </c>
      <c r="X1" s="9" t="s">
        <v>100</v>
      </c>
      <c r="Y1" s="9" t="s">
        <v>101</v>
      </c>
      <c r="Z1" s="9" t="s">
        <v>102</v>
      </c>
      <c r="AA1" s="9" t="s">
        <v>103</v>
      </c>
      <c r="AB1" s="9" t="s">
        <v>104</v>
      </c>
      <c r="AC1" s="9" t="s">
        <v>105</v>
      </c>
      <c r="AD1" s="9" t="s">
        <v>96</v>
      </c>
      <c r="AE1" s="9" t="s">
        <v>106</v>
      </c>
      <c r="AF1" s="9" t="s">
        <v>107</v>
      </c>
      <c r="AG1" s="9" t="s">
        <v>108</v>
      </c>
    </row>
    <row r="2" spans="1:35" x14ac:dyDescent="0.25">
      <c r="A2" s="4" t="s">
        <v>7</v>
      </c>
      <c r="B2" s="3">
        <v>0.3</v>
      </c>
      <c r="E2" s="10" t="s">
        <v>63</v>
      </c>
      <c r="F2" s="3">
        <f>0.01*(0.5*B9+0.5*B12+1.5*B11+2*B3+3.5*B4+5*B5+6.5*B6+8*B7+3*B20+2.5*B21-B19)</f>
        <v>2.0105</v>
      </c>
      <c r="O2" s="8">
        <v>0</v>
      </c>
      <c r="P2" s="8">
        <v>1.2929999999999999</v>
      </c>
      <c r="Q2" s="8">
        <v>1.8540000000000001</v>
      </c>
      <c r="R2" s="8">
        <v>1.62</v>
      </c>
      <c r="S2" s="8">
        <v>1.2929999999999999</v>
      </c>
      <c r="T2" s="8">
        <v>1.429</v>
      </c>
      <c r="U2" s="8">
        <v>1.2609999999999999</v>
      </c>
      <c r="V2" s="8">
        <v>1.171</v>
      </c>
      <c r="W2" s="3">
        <v>1.55</v>
      </c>
      <c r="X2" s="3">
        <v>2.2098</v>
      </c>
      <c r="Y2" s="8">
        <v>3.0484</v>
      </c>
      <c r="Z2" s="8">
        <v>4.1284000000000001</v>
      </c>
      <c r="AA2" s="8">
        <v>5.1273999999999997</v>
      </c>
      <c r="AB2" s="8">
        <v>1.5998000000000001</v>
      </c>
      <c r="AC2" s="8">
        <v>1.2946</v>
      </c>
      <c r="AD2" s="8">
        <v>1.3059000000000001</v>
      </c>
      <c r="AE2" s="8">
        <v>1.4943</v>
      </c>
      <c r="AF2" s="8">
        <v>1.2970999999999999</v>
      </c>
      <c r="AG2" s="8">
        <v>1.3188</v>
      </c>
    </row>
    <row r="3" spans="1:35" x14ac:dyDescent="0.25">
      <c r="A3" s="4" t="s">
        <v>8</v>
      </c>
      <c r="B3" s="3">
        <v>95.9</v>
      </c>
      <c r="E3" s="10" t="s">
        <v>74</v>
      </c>
      <c r="F3" s="3">
        <f>(1+3.762)*F2</f>
        <v>9.5740010000000009</v>
      </c>
      <c r="O3" s="8">
        <v>100</v>
      </c>
      <c r="P3" s="8">
        <v>1.367</v>
      </c>
      <c r="Q3" s="8">
        <v>1.9630000000000001</v>
      </c>
      <c r="R3" s="8">
        <v>1.712</v>
      </c>
      <c r="S3" s="8">
        <v>1.367</v>
      </c>
      <c r="T3" s="8">
        <v>1.5169999999999999</v>
      </c>
      <c r="U3" s="8">
        <v>1.3380000000000001</v>
      </c>
      <c r="V3" s="8">
        <v>1.2450000000000001</v>
      </c>
      <c r="W3" s="3">
        <v>1.6420999999999999</v>
      </c>
      <c r="X3" s="3">
        <v>2.4948999999999999</v>
      </c>
      <c r="Y3" s="8">
        <v>3.5097999999999998</v>
      </c>
      <c r="Z3" s="8">
        <v>4.7054</v>
      </c>
      <c r="AA3" s="8">
        <v>5.8353999999999999</v>
      </c>
      <c r="AB3" s="8">
        <v>1.7002999999999999</v>
      </c>
      <c r="AC3" s="8">
        <v>1.2958000000000001</v>
      </c>
      <c r="AD3" s="8">
        <v>1.3176000000000001</v>
      </c>
      <c r="AE3" s="8">
        <v>1.5052000000000001</v>
      </c>
      <c r="AF3" s="8">
        <v>1.3004</v>
      </c>
      <c r="AG3" s="8">
        <v>1.3243</v>
      </c>
    </row>
    <row r="4" spans="1:35" x14ac:dyDescent="0.25">
      <c r="A4" s="4" t="s">
        <v>9</v>
      </c>
      <c r="B4" s="3">
        <v>2.5</v>
      </c>
      <c r="E4" s="10" t="s">
        <v>75</v>
      </c>
      <c r="F4" s="3">
        <f>(1+0.001244*B17)*F3</f>
        <v>9.7288317441720018</v>
      </c>
      <c r="O4" s="8">
        <v>200</v>
      </c>
      <c r="P4" s="8">
        <v>1.4430000000000001</v>
      </c>
      <c r="Q4" s="8">
        <v>2.0720000000000001</v>
      </c>
      <c r="R4" s="8">
        <v>1.804</v>
      </c>
      <c r="S4" s="8">
        <v>1.4430000000000001</v>
      </c>
      <c r="T4" s="8">
        <v>1.605</v>
      </c>
      <c r="U4" s="8">
        <v>1.415</v>
      </c>
      <c r="V4" s="8">
        <v>1.319</v>
      </c>
      <c r="W4" s="3">
        <v>1.7587999999999999</v>
      </c>
      <c r="X4" s="3">
        <v>2.7746</v>
      </c>
      <c r="Y4" s="8">
        <v>3.9653</v>
      </c>
      <c r="Z4" s="8">
        <v>5.2564000000000002</v>
      </c>
      <c r="AA4" s="8">
        <v>6.5153999999999996</v>
      </c>
      <c r="AB4" s="8">
        <v>1.7874000000000001</v>
      </c>
      <c r="AC4" s="8">
        <v>1.2996000000000001</v>
      </c>
      <c r="AD4" s="8">
        <v>1.3351999999999999</v>
      </c>
      <c r="AE4" s="8">
        <v>1.5224</v>
      </c>
      <c r="AF4" s="8">
        <v>1.3070999999999999</v>
      </c>
      <c r="AG4" s="8">
        <v>1.3318000000000001</v>
      </c>
    </row>
    <row r="5" spans="1:35" x14ac:dyDescent="0.25">
      <c r="A5" s="4" t="s">
        <v>10</v>
      </c>
      <c r="B5" s="3">
        <v>0.1</v>
      </c>
      <c r="E5" s="10" t="s">
        <v>76</v>
      </c>
      <c r="F5" s="3">
        <f>B14*F3</f>
        <v>11.010101150000001</v>
      </c>
      <c r="O5" s="8">
        <v>300</v>
      </c>
      <c r="P5" s="8">
        <v>1.5189999999999999</v>
      </c>
      <c r="Q5" s="8">
        <v>2.181</v>
      </c>
      <c r="R5" s="8">
        <v>1.8959999999999999</v>
      </c>
      <c r="S5" s="8">
        <v>1.5189999999999999</v>
      </c>
      <c r="T5" s="8">
        <v>1.6930000000000001</v>
      </c>
      <c r="U5" s="8">
        <v>1.492</v>
      </c>
      <c r="V5" s="8">
        <v>1.393</v>
      </c>
      <c r="W5" s="3">
        <v>1.8862000000000001</v>
      </c>
      <c r="X5" s="3">
        <v>3.0442</v>
      </c>
      <c r="Y5" s="8">
        <v>4.3691000000000004</v>
      </c>
      <c r="Z5" s="8">
        <v>5.7721999999999998</v>
      </c>
      <c r="AA5" s="8">
        <v>7.1355000000000004</v>
      </c>
      <c r="AB5" s="8">
        <v>1.8628</v>
      </c>
      <c r="AC5" s="8">
        <v>1.3068</v>
      </c>
      <c r="AD5" s="8">
        <v>1.3561000000000001</v>
      </c>
      <c r="AE5" s="8">
        <v>1.5424</v>
      </c>
      <c r="AF5" s="8">
        <v>1.3171999999999999</v>
      </c>
      <c r="AG5" s="8">
        <v>1.3423</v>
      </c>
    </row>
    <row r="6" spans="1:35" x14ac:dyDescent="0.25">
      <c r="A6" s="4" t="s">
        <v>11</v>
      </c>
      <c r="B6" s="3">
        <v>0</v>
      </c>
      <c r="E6" s="10" t="s">
        <v>77</v>
      </c>
      <c r="F6" s="3">
        <f>B14*F4</f>
        <v>11.188156505797801</v>
      </c>
      <c r="O6" s="8">
        <v>400</v>
      </c>
      <c r="P6" s="8">
        <v>1.595</v>
      </c>
      <c r="Q6" s="8">
        <v>2.29</v>
      </c>
      <c r="R6" s="8">
        <v>1.988</v>
      </c>
      <c r="S6" s="8">
        <v>1.595</v>
      </c>
      <c r="T6" s="8">
        <v>1.7809999999999999</v>
      </c>
      <c r="U6" s="8">
        <v>1.569</v>
      </c>
      <c r="V6" s="8">
        <v>1.4670000000000001</v>
      </c>
      <c r="W6" s="3">
        <v>2.0154999999999998</v>
      </c>
      <c r="X6" s="3">
        <v>3.3083999999999998</v>
      </c>
      <c r="Y6" s="8">
        <v>4.7595999999999998</v>
      </c>
      <c r="Z6" s="8">
        <v>6.2671000000000001</v>
      </c>
      <c r="AA6" s="8">
        <v>7.7408999999999999</v>
      </c>
      <c r="AB6" s="8">
        <v>1.9298</v>
      </c>
      <c r="AC6" s="8">
        <v>1.3164</v>
      </c>
      <c r="AD6" s="8">
        <v>1.3774999999999999</v>
      </c>
      <c r="AE6" s="8">
        <v>1.5654999999999999</v>
      </c>
      <c r="AF6" s="8">
        <v>1.3289</v>
      </c>
      <c r="AG6" s="8">
        <v>1.3544</v>
      </c>
    </row>
    <row r="7" spans="1:35" x14ac:dyDescent="0.25">
      <c r="A7" s="4" t="s">
        <v>12</v>
      </c>
      <c r="B7" s="3">
        <v>0</v>
      </c>
      <c r="E7" s="10" t="s">
        <v>64</v>
      </c>
      <c r="F7" s="3">
        <f>0.01*(B2+B9+B3+2*B4+3*B5+4*B6+5*B7+2*B20+2*B21)</f>
        <v>1.0150000000000001</v>
      </c>
      <c r="H7" s="10" t="s">
        <v>7</v>
      </c>
      <c r="I7" s="10">
        <f>F7/F11*100</f>
        <v>9.448635766132508</v>
      </c>
      <c r="O7" s="8">
        <v>500</v>
      </c>
      <c r="P7" s="8">
        <v>1.671</v>
      </c>
      <c r="Q7" s="8">
        <v>2.399</v>
      </c>
      <c r="R7" s="8">
        <v>2.08</v>
      </c>
      <c r="S7" s="8">
        <v>1.671</v>
      </c>
      <c r="T7" s="8">
        <v>1.869</v>
      </c>
      <c r="U7" s="8">
        <v>1.6459999999999999</v>
      </c>
      <c r="V7" s="8">
        <v>1.5409999999999999</v>
      </c>
      <c r="W7" s="3">
        <v>2.1402999999999999</v>
      </c>
      <c r="X7" s="3">
        <v>3.5525000000000002</v>
      </c>
      <c r="Y7" s="8">
        <v>5.0937000000000001</v>
      </c>
      <c r="Z7" s="8">
        <v>6.6890999999999998</v>
      </c>
      <c r="AA7" s="8">
        <v>8.2562999999999995</v>
      </c>
      <c r="AB7" s="8">
        <v>1.9887999999999999</v>
      </c>
      <c r="AC7" s="8">
        <v>1.3277000000000001</v>
      </c>
      <c r="AD7" s="8">
        <v>1.3979999999999999</v>
      </c>
      <c r="AE7" s="8">
        <v>1.5898000000000001</v>
      </c>
      <c r="AF7" s="8">
        <v>1.3427</v>
      </c>
      <c r="AG7" s="8">
        <v>1.3683000000000001</v>
      </c>
    </row>
    <row r="8" spans="1:35" x14ac:dyDescent="0.25">
      <c r="A8" s="4" t="s">
        <v>13</v>
      </c>
      <c r="B8" s="3">
        <v>1.2</v>
      </c>
      <c r="E8" s="10" t="s">
        <v>65</v>
      </c>
      <c r="F8" s="3">
        <f>0.01*(B10+B11)</f>
        <v>0</v>
      </c>
      <c r="H8" s="10" t="s">
        <v>14</v>
      </c>
      <c r="I8" s="10">
        <f>F8/F11*100</f>
        <v>0</v>
      </c>
      <c r="O8" s="8">
        <v>600</v>
      </c>
      <c r="P8" s="8">
        <v>1.7470000000000001</v>
      </c>
      <c r="Q8" s="8">
        <v>2.508</v>
      </c>
      <c r="R8" s="8">
        <v>2.1720000000000002</v>
      </c>
      <c r="S8" s="8">
        <v>1.7470000000000001</v>
      </c>
      <c r="T8" s="8">
        <v>1.9570000000000001</v>
      </c>
      <c r="U8" s="8">
        <v>1.7230000000000001</v>
      </c>
      <c r="V8" s="8">
        <v>1.615</v>
      </c>
      <c r="W8" s="3">
        <v>2.2608999999999999</v>
      </c>
      <c r="X8" s="3">
        <v>3.7778</v>
      </c>
      <c r="Y8" s="8">
        <v>5.4321999999999999</v>
      </c>
      <c r="Z8" s="8">
        <v>7.1148999999999996</v>
      </c>
      <c r="AA8" s="8">
        <v>8.7830999999999992</v>
      </c>
      <c r="AB8" s="8">
        <v>2.0411999999999999</v>
      </c>
      <c r="AC8" s="8">
        <v>1.3403</v>
      </c>
      <c r="AD8" s="8">
        <v>1.4168000000000001</v>
      </c>
      <c r="AE8" s="8">
        <v>1.6149</v>
      </c>
      <c r="AF8" s="8">
        <v>1.3565</v>
      </c>
      <c r="AG8" s="8">
        <v>1.3829</v>
      </c>
    </row>
    <row r="9" spans="1:35" x14ac:dyDescent="0.25">
      <c r="A9" s="4" t="s">
        <v>21</v>
      </c>
      <c r="B9" s="3">
        <v>0</v>
      </c>
      <c r="E9" s="10" t="s">
        <v>66</v>
      </c>
      <c r="F9" s="3">
        <f>0.01*B8+0.79*F3</f>
        <v>7.5754607900000002</v>
      </c>
      <c r="H9" s="10" t="s">
        <v>13</v>
      </c>
      <c r="I9" s="10">
        <f>F9/F11*100</f>
        <v>70.51997021214622</v>
      </c>
      <c r="O9" s="8">
        <v>700</v>
      </c>
      <c r="P9" s="8">
        <v>1.823</v>
      </c>
      <c r="Q9" s="8">
        <v>2.617</v>
      </c>
      <c r="R9" s="8">
        <v>2.2639999999999998</v>
      </c>
      <c r="S9" s="8">
        <v>1.823</v>
      </c>
      <c r="T9" s="8">
        <v>2.0449999999999999</v>
      </c>
      <c r="U9" s="8">
        <v>1.8</v>
      </c>
      <c r="V9" s="8">
        <v>1.6890000000000001</v>
      </c>
      <c r="W9" s="3">
        <v>2.30768</v>
      </c>
      <c r="X9" s="3">
        <v>3.9863</v>
      </c>
      <c r="Y9" s="8">
        <v>5.7236000000000002</v>
      </c>
      <c r="Z9" s="8">
        <v>7.4851000000000001</v>
      </c>
      <c r="AA9" s="8">
        <v>9.2315000000000005</v>
      </c>
      <c r="AB9" s="8">
        <v>2.0884999999999998</v>
      </c>
      <c r="AC9" s="8">
        <v>1.3535999999999999</v>
      </c>
      <c r="AD9" s="8">
        <v>1.4343999999999999</v>
      </c>
      <c r="AE9" s="8">
        <v>1.6412</v>
      </c>
      <c r="AF9" s="8">
        <v>1.3708</v>
      </c>
      <c r="AG9" s="8">
        <v>1.3976</v>
      </c>
    </row>
    <row r="10" spans="1:35" x14ac:dyDescent="0.25">
      <c r="A10" s="4" t="s">
        <v>14</v>
      </c>
      <c r="B10" s="3">
        <v>0</v>
      </c>
      <c r="E10" s="10" t="s">
        <v>67</v>
      </c>
      <c r="F10" s="3">
        <f>0.01*(B13+B12+B11+2*B3+3*B4+4*B5+5*B6+6*B7+2*B20+B21)+0.001244*B17*F3</f>
        <v>2.1518307441719999</v>
      </c>
      <c r="H10" s="10" t="s">
        <v>17</v>
      </c>
      <c r="I10" s="10">
        <f>F10/F11*100</f>
        <v>20.031394021721265</v>
      </c>
      <c r="O10" s="8">
        <v>800</v>
      </c>
      <c r="P10" s="8">
        <v>1.899</v>
      </c>
      <c r="Q10" s="8">
        <v>2.726</v>
      </c>
      <c r="R10" s="8">
        <v>2.3559999999999999</v>
      </c>
      <c r="S10" s="8">
        <v>1.899</v>
      </c>
      <c r="T10" s="8">
        <v>2.133</v>
      </c>
      <c r="U10" s="8">
        <v>1.877</v>
      </c>
      <c r="V10" s="8">
        <v>1.7629999999999999</v>
      </c>
      <c r="W10" s="3">
        <v>2.4941</v>
      </c>
      <c r="X10" s="3">
        <v>4.1809000000000003</v>
      </c>
      <c r="Y10" s="8">
        <v>5.9886999999999997</v>
      </c>
      <c r="Z10" s="8">
        <v>7.8083</v>
      </c>
      <c r="AA10" s="8">
        <v>9.6255000000000006</v>
      </c>
      <c r="AB10" s="8">
        <v>2.1312000000000002</v>
      </c>
      <c r="AC10" s="8">
        <v>1.367</v>
      </c>
      <c r="AD10" s="8">
        <v>1.4499</v>
      </c>
      <c r="AE10" s="8">
        <v>1.6679999999999999</v>
      </c>
      <c r="AF10" s="8">
        <v>1.3842000000000001</v>
      </c>
      <c r="AG10" s="8">
        <v>1.4114</v>
      </c>
    </row>
    <row r="11" spans="1:35" x14ac:dyDescent="0.25">
      <c r="A11" s="4" t="s">
        <v>15</v>
      </c>
      <c r="B11" s="3">
        <v>0</v>
      </c>
      <c r="E11" s="10" t="s">
        <v>78</v>
      </c>
      <c r="F11" s="3">
        <f>SUM(F7:F10)</f>
        <v>10.742291534172001</v>
      </c>
      <c r="H11" s="4" t="s">
        <v>91</v>
      </c>
      <c r="I11" s="4">
        <f>SUM(I7:I10)</f>
        <v>100</v>
      </c>
      <c r="O11" s="8">
        <v>900</v>
      </c>
      <c r="P11" s="8">
        <v>1.9750000000000001</v>
      </c>
      <c r="Q11" s="8">
        <v>2.835</v>
      </c>
      <c r="R11" s="8">
        <v>2.448</v>
      </c>
      <c r="S11" s="8">
        <v>1.9750000000000001</v>
      </c>
      <c r="T11" s="8">
        <v>2.2210000000000001</v>
      </c>
      <c r="U11" s="8">
        <v>1.954</v>
      </c>
      <c r="V11" s="8">
        <v>1.837</v>
      </c>
      <c r="W11" s="3">
        <v>2.6025</v>
      </c>
      <c r="X11" s="3">
        <v>4.3620000000000001</v>
      </c>
      <c r="Y11" s="8">
        <v>6.2314999999999996</v>
      </c>
      <c r="Z11" s="8">
        <v>8.1143999999999998</v>
      </c>
      <c r="AA11" s="8">
        <v>9.9917999999999996</v>
      </c>
      <c r="AB11" s="8">
        <v>2.1692999999999998</v>
      </c>
      <c r="AC11" s="8">
        <v>1.3795999999999999</v>
      </c>
      <c r="AD11" s="8">
        <v>1.4644999999999999</v>
      </c>
      <c r="AE11" s="8">
        <v>1.6957</v>
      </c>
      <c r="AF11" s="8">
        <v>1.3976</v>
      </c>
      <c r="AG11" s="8">
        <v>1.4248000000000001</v>
      </c>
    </row>
    <row r="12" spans="1:35" x14ac:dyDescent="0.25">
      <c r="A12" s="4" t="s">
        <v>16</v>
      </c>
      <c r="B12" s="3">
        <v>0</v>
      </c>
      <c r="E12" s="10" t="s">
        <v>68</v>
      </c>
      <c r="F12" s="3">
        <f>F7</f>
        <v>1.0150000000000001</v>
      </c>
      <c r="H12" s="10" t="s">
        <v>7</v>
      </c>
      <c r="I12" s="10">
        <f>F12/F17*100</f>
        <v>8.3185741718854445</v>
      </c>
      <c r="O12" s="8">
        <v>1000</v>
      </c>
      <c r="P12" s="8">
        <v>2.0510000000000002</v>
      </c>
      <c r="Q12" s="8">
        <v>2.944</v>
      </c>
      <c r="R12" s="8">
        <v>2.54</v>
      </c>
      <c r="S12" s="8">
        <v>2.0510000000000002</v>
      </c>
      <c r="T12" s="8">
        <v>2.3090000000000002</v>
      </c>
      <c r="U12" s="8">
        <v>2.0310000000000001</v>
      </c>
      <c r="V12" s="8">
        <v>1.911</v>
      </c>
      <c r="W12" s="3">
        <v>2.6991999999999998</v>
      </c>
      <c r="X12" s="3">
        <v>4.5293000000000001</v>
      </c>
      <c r="Y12" s="8">
        <v>6.4614000000000003</v>
      </c>
      <c r="Z12" s="8">
        <v>8.4040999999999997</v>
      </c>
      <c r="AA12" s="8">
        <v>10.344799999999999</v>
      </c>
      <c r="AB12" s="8">
        <v>2.2035999999999998</v>
      </c>
      <c r="AC12" s="8">
        <v>1.3917999999999999</v>
      </c>
      <c r="AD12" s="8">
        <v>1.4775</v>
      </c>
      <c r="AE12" s="8">
        <v>1.7229000000000001</v>
      </c>
      <c r="AF12" s="8">
        <v>1.4097</v>
      </c>
      <c r="AG12" s="8">
        <v>1.4373</v>
      </c>
    </row>
    <row r="13" spans="1:35" x14ac:dyDescent="0.25">
      <c r="A13" s="4" t="s">
        <v>17</v>
      </c>
      <c r="B13" s="3">
        <v>0</v>
      </c>
      <c r="E13" s="10" t="s">
        <v>69</v>
      </c>
      <c r="F13" s="3">
        <f>F8</f>
        <v>0</v>
      </c>
      <c r="H13" s="10" t="s">
        <v>14</v>
      </c>
      <c r="I13" s="10">
        <f>F13/F17*100</f>
        <v>0</v>
      </c>
      <c r="O13" s="8">
        <v>1100</v>
      </c>
      <c r="P13" s="8">
        <v>2.1269999999999998</v>
      </c>
      <c r="Q13" s="8">
        <v>3.0529999999999999</v>
      </c>
      <c r="R13" s="8">
        <v>2.6320000000000001</v>
      </c>
      <c r="S13" s="8">
        <v>2.1269999999999998</v>
      </c>
      <c r="T13" s="8">
        <v>2.3969999999999998</v>
      </c>
      <c r="U13" s="8">
        <v>2.1080000000000001</v>
      </c>
      <c r="V13" s="8">
        <v>1.9850000000000001</v>
      </c>
      <c r="W13" s="3">
        <v>2.7863000000000002</v>
      </c>
      <c r="X13" s="3">
        <v>4.6837999999999997</v>
      </c>
      <c r="Y13" s="8">
        <v>6.6778000000000004</v>
      </c>
      <c r="Z13" s="8">
        <v>8.6788000000000007</v>
      </c>
      <c r="AA13" s="8">
        <v>10.679399999999999</v>
      </c>
      <c r="AB13" s="8">
        <v>2.2349999999999999</v>
      </c>
      <c r="AC13" s="8">
        <v>1.4035</v>
      </c>
      <c r="AD13" s="8">
        <v>1.4892000000000001</v>
      </c>
      <c r="AE13" s="8">
        <v>1.7502</v>
      </c>
      <c r="AF13" s="8">
        <v>1.4214</v>
      </c>
      <c r="AG13" s="8">
        <v>1.4499</v>
      </c>
    </row>
    <row r="14" spans="1:35" x14ac:dyDescent="0.25">
      <c r="A14" s="5" t="s">
        <v>19</v>
      </c>
      <c r="B14" s="3">
        <v>1.1499999999999999</v>
      </c>
      <c r="E14" s="10" t="s">
        <v>70</v>
      </c>
      <c r="F14" s="3">
        <f>F9+(B14-1)*0.79*F3</f>
        <v>8.7099799084999994</v>
      </c>
      <c r="H14" s="10" t="s">
        <v>13</v>
      </c>
      <c r="I14" s="10">
        <f>F14/F17*100</f>
        <v>71.383856063536186</v>
      </c>
      <c r="O14" s="8">
        <v>1200</v>
      </c>
      <c r="P14" s="8">
        <v>2.2029999999999998</v>
      </c>
      <c r="Q14" s="8">
        <v>3.1619999999999999</v>
      </c>
      <c r="R14" s="8">
        <v>2.7240000000000002</v>
      </c>
      <c r="S14" s="8">
        <v>2.2029999999999998</v>
      </c>
      <c r="T14" s="8">
        <v>2.4849999999999999</v>
      </c>
      <c r="U14" s="8">
        <v>2.1850000000000001</v>
      </c>
      <c r="V14" s="8">
        <v>2.0590000000000002</v>
      </c>
      <c r="W14" s="3">
        <v>2.8628999999999998</v>
      </c>
      <c r="X14" s="3">
        <v>4.8254999999999999</v>
      </c>
      <c r="Y14" s="8">
        <v>6.8817000000000004</v>
      </c>
      <c r="Z14" s="8">
        <v>8.9383999999999997</v>
      </c>
      <c r="AA14" s="8">
        <v>10.996700000000001</v>
      </c>
      <c r="AB14" s="8">
        <v>2.2639</v>
      </c>
      <c r="AC14" s="8">
        <v>1.4142999999999999</v>
      </c>
      <c r="AD14" s="8">
        <v>1.5004999999999999</v>
      </c>
      <c r="AE14" s="8">
        <v>1.7768999999999999</v>
      </c>
      <c r="AF14" s="8">
        <v>1.4327000000000001</v>
      </c>
      <c r="AG14" s="8">
        <v>1.4612000000000001</v>
      </c>
    </row>
    <row r="15" spans="1:35" x14ac:dyDescent="0.25">
      <c r="A15" s="4" t="s">
        <v>4</v>
      </c>
      <c r="B15" s="3">
        <v>90</v>
      </c>
      <c r="E15" s="10" t="s">
        <v>72</v>
      </c>
      <c r="F15" s="3">
        <f>(B14-1)*F2</f>
        <v>0.30157499999999982</v>
      </c>
      <c r="H15" s="10" t="s">
        <v>59</v>
      </c>
      <c r="I15" s="10">
        <f>F15/F17*100</f>
        <v>2.471600005799361</v>
      </c>
      <c r="AC15" s="6"/>
      <c r="AD15" s="6"/>
      <c r="AE15" s="6"/>
      <c r="AF15" s="6"/>
      <c r="AG15" s="6"/>
      <c r="AH15" s="6"/>
      <c r="AI15" s="6"/>
    </row>
    <row r="16" spans="1:35" x14ac:dyDescent="0.25">
      <c r="A16" s="4" t="s">
        <v>5</v>
      </c>
      <c r="B16" s="3">
        <v>290</v>
      </c>
      <c r="E16" s="10" t="s">
        <v>71</v>
      </c>
      <c r="F16" s="3">
        <f>F10+(B14-1)*0.001244*B17*F3</f>
        <v>2.1750553557978001</v>
      </c>
      <c r="H16" s="10" t="s">
        <v>17</v>
      </c>
      <c r="I16" s="10">
        <f>F16/F17*100</f>
        <v>17.825969758778999</v>
      </c>
    </row>
    <row r="17" spans="1:22" x14ac:dyDescent="0.25">
      <c r="A17" s="4" t="s">
        <v>6</v>
      </c>
      <c r="B17" s="3">
        <v>13</v>
      </c>
      <c r="E17" s="10" t="s">
        <v>73</v>
      </c>
      <c r="F17" s="3">
        <f>SUM(F12:F16)</f>
        <v>12.2016102642978</v>
      </c>
      <c r="H17" s="4" t="s">
        <v>91</v>
      </c>
      <c r="I17" s="4">
        <f>SUM(I12:I16)</f>
        <v>99.999999999999986</v>
      </c>
    </row>
    <row r="18" spans="1:22" x14ac:dyDescent="0.25">
      <c r="A18" s="4" t="s">
        <v>62</v>
      </c>
      <c r="B18" s="3">
        <f>0.03*F18</f>
        <v>1080.4050000000002</v>
      </c>
      <c r="E18" s="10" t="s">
        <v>79</v>
      </c>
      <c r="F18" s="3">
        <f>127.7*B9+108*B12+358*B3+590*B20+555*B21+636*B4+913*B5+1185*B6+1465*B7+234*B11</f>
        <v>36013.500000000007</v>
      </c>
      <c r="T18" s="7"/>
    </row>
    <row r="19" spans="1:22" x14ac:dyDescent="0.25">
      <c r="A19" s="4" t="s">
        <v>59</v>
      </c>
      <c r="B19" s="3">
        <v>0</v>
      </c>
      <c r="E19" s="10" t="s">
        <v>80</v>
      </c>
      <c r="F19" s="31">
        <f>(F18/F11)</f>
        <v>3352.4969868336266</v>
      </c>
    </row>
    <row r="20" spans="1:22" x14ac:dyDescent="0.25">
      <c r="A20" s="4" t="s">
        <v>60</v>
      </c>
      <c r="B20" s="3">
        <v>0</v>
      </c>
      <c r="E20" s="10" t="s">
        <v>81</v>
      </c>
      <c r="F20" s="3">
        <f>(F18/F11)-B18/F11</f>
        <v>3251.9220772286176</v>
      </c>
    </row>
    <row r="21" spans="1:22" x14ac:dyDescent="0.25">
      <c r="A21" s="62" t="s">
        <v>61</v>
      </c>
      <c r="B21" s="63">
        <v>0</v>
      </c>
      <c r="E21" s="10" t="s">
        <v>82</v>
      </c>
      <c r="F21" s="3" cm="1">
        <f t="array" ref="F21">B2/100*InterpolateParamFromTable(B15, $O$2:$O$14, $AB$2:$AB$14)+B3/100*InterpolateParamFromTable(B15, $O$2:$O$14, $W$2:$W$14)+B4/100*InterpolateParamFromTable(B15, $O$2:$O$14, X2:X14)+B5/100*InterpolateParamFromTable(B15, $O$2:$O$14, Y2:Y14)+B8/100*InterpolateParamFromTable(B15, $O$2:$O$14, AC2:AC14)+B6/100*InterpolateParamFromTable(B15, $O$2:$O$14, Z2:Z14)+B7/100*InterpolateParamFromTable(B15, $O$2:$O$14, AA2:AA14)+B9/100*InterpolateParamFromTable(B15, $O$2:$O$14, P2:P14)+B10/100*InterpolateParamFromTable(B15, $O$2:$O$14, Q2:Q14)+B11/100*InterpolateParamFromTable(B15, $O$2:$O$14, R2:R14)+B12/100*InterpolateParamFromTable(B15, $O$2:$O$14, S2:S14)+B13/100*InterpolateParamFromTable(B15, $O$2:$O$14, AE2:AE14)+B19/100*InterpolateParamFromTable(B15, $O$2:$O$14, AD2:AD14)+B20/100*InterpolateParamFromTable(B15, $O$2:$O$14, U2:U14)+B21/100*InterpolateParamFromTable(B15, $O$2:$O$14, V2:V14)</f>
        <v>1.6516838300000001</v>
      </c>
      <c r="V21" s="7"/>
    </row>
    <row r="22" spans="1:22" ht="15" customHeight="1" x14ac:dyDescent="0.25">
      <c r="A22" s="64"/>
      <c r="B22" s="64"/>
      <c r="E22" s="10" t="s">
        <v>83</v>
      </c>
      <c r="F22" s="3" cm="1">
        <f t="array" ref="F22">InterpolateParamFromTable(B16, $O$2:$O$14, AF2:AF14)</f>
        <v>1.31619</v>
      </c>
      <c r="G22" s="33"/>
    </row>
    <row r="23" spans="1:22" x14ac:dyDescent="0.25">
      <c r="E23" s="10" t="s">
        <v>84</v>
      </c>
      <c r="F23" s="31">
        <f>(F18/F17)+(F6*F22*B16/F17)+(F21*B15/F17)</f>
        <v>3313.7114844016073</v>
      </c>
      <c r="G23" s="55" t="s">
        <v>49</v>
      </c>
    </row>
    <row r="24" spans="1:22" x14ac:dyDescent="0.25">
      <c r="E24" s="10" t="s">
        <v>85</v>
      </c>
      <c r="F24" s="3">
        <f>(F18/F17)+(F6*F22*B16/F17)+(F21*B15/F17)-B18/F17</f>
        <v>3225.1653846166232</v>
      </c>
      <c r="G24" s="55"/>
    </row>
    <row r="25" spans="1:22" x14ac:dyDescent="0.25">
      <c r="E25" s="10" t="s">
        <v>86</v>
      </c>
      <c r="F25" s="3">
        <f>(F6-F4)*100/F17</f>
        <v>11.960099773845574</v>
      </c>
      <c r="G25" s="55"/>
    </row>
    <row r="26" spans="1:22" x14ac:dyDescent="0.25">
      <c r="E26" s="10" t="s">
        <v>87</v>
      </c>
      <c r="F26" s="3" cm="1">
        <f t="array" ref="F26">IF(F18&gt;12500,InterpolateParamFromTable(0, A34:A39, F34:F39),InterpolateParamFromTable(0, A34:A39, C34:C39))</f>
        <v>1896.3561315495601</v>
      </c>
      <c r="G26" s="10" cm="1">
        <f t="array" ref="G26">IF(F18&gt;12500, InterpolateTemperature_ByEnthalpy(F19,0,Лист1!B37:O42,Лист1!B36:O36,Лист1!A37:A42), InterpolateTemperature_ByEnthalpy(F19,0,Лист1!B26:O31,Лист1!B25:O25,Лист1!A26:A31))</f>
        <v>1922.980118771688</v>
      </c>
    </row>
    <row r="27" spans="1:22" x14ac:dyDescent="0.25">
      <c r="E27" s="10" t="s">
        <v>88</v>
      </c>
      <c r="F27" s="3" cm="1">
        <f t="array" ref="F27">IF(F18&gt;12500,InterpolateParamFromTable(0, A54:A59, F54:F59),InterpolateParamFromTable(0, A54:A59, C54:C59))</f>
        <v>1952.0263199116212</v>
      </c>
      <c r="G27" s="10" cm="1">
        <f t="array" ref="G27">IF(Лист2!F18&gt;12500, InterpolateTemperature_ByEnthalpy(F20,0,Лист1!B82:O87,Лист1!B81:O81,Лист1!A82:A87),InterpolateTemperature_ByEnthalpy(F20,0,Лист1!B71:O76,Лист1!B70:O70,Лист1!A71:A76))</f>
        <v>1942.3454093294702</v>
      </c>
    </row>
    <row r="28" spans="1:22" x14ac:dyDescent="0.25">
      <c r="E28" s="10" t="s">
        <v>89</v>
      </c>
      <c r="F28" s="3" cm="1">
        <f t="array" ref="F28">IF(F18&gt;12500,InterpolateParamFromTable(F25, A43:A48, F43:F48),InterpolateParamFromTable(F25, A43:A48, C43:C48))</f>
        <v>1977.0943922798992</v>
      </c>
      <c r="G28" s="10" cm="1">
        <f t="array" ref="G28">IF(F18&gt;12500, InterpolateTemperature_ByEnthalpy(F23,F25,Лист1!B37:O42,Лист1!B36:O36,Лист1!A37:A42), InterpolateTemperature_ByEnthalpy(F23,F25,Лист1!B26:O31,Лист1!B25:O25,Лист1!A26:A31))</f>
        <v>1949.400935981834</v>
      </c>
    </row>
    <row r="29" spans="1:22" x14ac:dyDescent="0.25">
      <c r="E29" s="10" t="s">
        <v>90</v>
      </c>
      <c r="F29" s="3" cm="1">
        <f t="array" ref="F29">IF(F18&gt;12500,InterpolateParamFromTable(F25, A63:A68, F63:F68),InterpolateParamFromTable(F25, A63:A68, C63:C68))</f>
        <v>1958.0918896852052</v>
      </c>
      <c r="G29" s="10" cm="1">
        <f t="array" ref="G29">IF(Лист2!F18&gt;12500, InterpolateTemperature_ByEnthalpy(F24,F25,Лист1!B82:O87,Лист1!B81:O81,Лист1!A82:A87),InterpolateTemperature_ByEnthalpy(F24,F25,Лист1!B71:O76,Лист1!B70:O70,Лист1!A71:A76))</f>
        <v>1953.3856766870972</v>
      </c>
    </row>
    <row r="32" spans="1:22" x14ac:dyDescent="0.25">
      <c r="A32" s="59" t="s">
        <v>50</v>
      </c>
      <c r="B32" s="60"/>
      <c r="C32" s="60"/>
      <c r="D32" s="60"/>
      <c r="E32" s="60"/>
      <c r="F32" s="60"/>
      <c r="G32" s="61"/>
    </row>
    <row r="33" spans="1:14" x14ac:dyDescent="0.25">
      <c r="A33" s="34" t="s">
        <v>20</v>
      </c>
      <c r="B33" s="35" t="s">
        <v>38</v>
      </c>
      <c r="C33" s="36" t="s">
        <v>36</v>
      </c>
      <c r="D33" s="37" t="s">
        <v>34</v>
      </c>
      <c r="E33" s="38" t="s">
        <v>38</v>
      </c>
      <c r="F33" s="36" t="s">
        <v>37</v>
      </c>
      <c r="G33" s="37" t="s">
        <v>35</v>
      </c>
    </row>
    <row r="34" spans="1:14" ht="17.25" x14ac:dyDescent="0.25">
      <c r="A34" s="23">
        <v>0</v>
      </c>
      <c r="B34" s="11" t="s">
        <v>22</v>
      </c>
      <c r="C34" s="10">
        <f>IF(((-1.1099-D34^0.5)/(2*0.0004))&gt;0, ((-1.1099-D34^0.5)/(2*0.0004)), ((-1.1099+D34^0.5)/(2*0.0004)))</f>
        <v>1919.5174774944023</v>
      </c>
      <c r="D34" s="15">
        <f>1.3365^2-4*0.0004*(94.677-F19)</f>
        <v>6.9987442289338029</v>
      </c>
      <c r="E34" s="18" t="s">
        <v>28</v>
      </c>
      <c r="F34" s="10">
        <f>IF(((-1.1732-G34^0.5)/(2*0.0003))&gt;0, ((-1.1732-G34^0.5)/(2*0.0003)), ((-1.1732+G34^0.5)/(2*0.0003)))</f>
        <v>1896.3561315495601</v>
      </c>
      <c r="G34" s="15">
        <f>1.1732^2-4*0.0003*(48.842-F19)</f>
        <v>5.3407842242003518</v>
      </c>
    </row>
    <row r="35" spans="1:14" ht="17.25" x14ac:dyDescent="0.25">
      <c r="A35" s="23">
        <v>20</v>
      </c>
      <c r="B35" s="11" t="s">
        <v>23</v>
      </c>
      <c r="C35" s="10">
        <f>IF(((-0.7324-D35^0.5)/(2*0.0004))&gt;0, ((-0.7324-D35^0.5)/(2*0.0004)), ((-0.7324+D35^0.5)/(2*0.0004)))</f>
        <v>1973.9736055351091</v>
      </c>
      <c r="D35" s="15">
        <f>0.7324^2-4*0.0004*(348.13-F19)</f>
        <v>5.3433969389338021</v>
      </c>
      <c r="E35" s="18" t="s">
        <v>29</v>
      </c>
      <c r="F35" s="10">
        <f>IF(((-0.8786-G35^0.5)/(2*0.0003))&gt;0, ((-0.8786-G35^0.5)/(2*0.0003)), ((-0.8786+G35^0.5)/(2*0.0003)))</f>
        <v>2061.059609383341</v>
      </c>
      <c r="G35" s="15">
        <f>0.8786^2-4*0.0003*(267.26-F19)</f>
        <v>4.474222344200351</v>
      </c>
    </row>
    <row r="36" spans="1:14" ht="17.25" x14ac:dyDescent="0.25">
      <c r="A36" s="23">
        <v>40</v>
      </c>
      <c r="B36" s="11" t="s">
        <v>24</v>
      </c>
      <c r="C36" s="10">
        <f>IF(((-1.0053-D36^0.5)/(2*0.0003))&gt;0, ((-1.0053-D36^0.5)/(2*0.0003)), ((-1.0053+D36^0.5)/(2*0.0003)))</f>
        <v>1975.3250491423744</v>
      </c>
      <c r="D36" s="15">
        <f>1.0053^2-4*0.0003*(196.13-F19)</f>
        <v>4.7982684742003521</v>
      </c>
      <c r="E36" s="18" t="s">
        <v>30</v>
      </c>
      <c r="F36" s="10">
        <f>IF(((-1.042-G36^0.5)/(2*0.0003))&gt;0, ((-1.042-G36^0.5)/(2*0.0003)), ((-1.042+G36^0.5)/(2*0.0003)))</f>
        <v>1952.6784966231369</v>
      </c>
      <c r="G36" s="15">
        <f>1.042^2-4*0.0003*(173.92-F19)</f>
        <v>4.9000563842003517</v>
      </c>
      <c r="N36" s="32"/>
    </row>
    <row r="37" spans="1:14" ht="17.25" x14ac:dyDescent="0.25">
      <c r="A37" s="23">
        <v>60</v>
      </c>
      <c r="B37" s="11" t="s">
        <v>25</v>
      </c>
      <c r="C37" s="10">
        <f>IF(((-1.0624-D37^0.5)/(2*0.0002))&gt;0, ((-1.0624-D37^0.5)/(2*0.0002)), ((-1.0624+D37^0.5)/(2*0.0002)))</f>
        <v>2141.5223745354365</v>
      </c>
      <c r="D37" s="15">
        <f>1.0624^2-4*0.0002*(160.12-F19)</f>
        <v>3.6825953494669013</v>
      </c>
      <c r="E37" s="18" t="s">
        <v>31</v>
      </c>
      <c r="F37" s="10">
        <f>IF(((-1.2683-G37^0.5)/(2*0.0002))&gt;0, ((-1.2683-G37^0.5)/(2*0.0002)), ((-1.2683+G37^0.5)/(2*0.0002)))</f>
        <v>1988.0614422479268</v>
      </c>
      <c r="G37" s="15">
        <f>1.2683^2-4*0.0002*(40.561-F19)</f>
        <v>4.2581336794669014</v>
      </c>
    </row>
    <row r="38" spans="1:14" ht="17.25" x14ac:dyDescent="0.25">
      <c r="A38" s="23">
        <v>80</v>
      </c>
      <c r="B38" s="11" t="s">
        <v>26</v>
      </c>
      <c r="C38" s="10">
        <f>IF(((-1.2512-D38^0.5)/(2*0.0001))&gt;0, ((-1.2512-D38^0.5)/(2*0.0001)), ((-1.2512+D38^0.5)/(2*0.0001)))</f>
        <v>2241.5752934785028</v>
      </c>
      <c r="D38" s="15">
        <f>1.2512^2-4*0.0001*(45.372-F19)</f>
        <v>2.8883514347334511</v>
      </c>
      <c r="E38" s="18" t="s">
        <v>32</v>
      </c>
      <c r="F38" s="10">
        <f>IF(((-1.3554-G38^0.5)/(2*0.0001))&gt;0, ((-1.3554-G38^0.5)/(2*0.0001)), ((-1.3554+G38^0.5)/(2*0.0001)))</f>
        <v>2146.6959197597189</v>
      </c>
      <c r="G38" s="15">
        <f>1.3554^2+4*0.0001*(17.965+F19)</f>
        <v>3.1852939547334502</v>
      </c>
    </row>
    <row r="39" spans="1:14" ht="18" thickBot="1" x14ac:dyDescent="0.3">
      <c r="A39" s="24">
        <v>100</v>
      </c>
      <c r="B39" s="21" t="s">
        <v>27</v>
      </c>
      <c r="C39" s="16">
        <f>IF(((-1.3387-D39^0.5)/(2*0.00008))&gt;0, ((-1.3387-D39^0.5)/(2*0.00008)), ((-1.3387+D39^0.5)/(2*0.00008)))</f>
        <v>2210.9185837794321</v>
      </c>
      <c r="D39" s="17">
        <f>1.3387^2-4*0.00008*(1.6874-F19)</f>
        <v>2.8643767577867605</v>
      </c>
      <c r="E39" s="19" t="s">
        <v>33</v>
      </c>
      <c r="F39" s="16">
        <f>IF(((-1.4125-G39^0.5)/(2*0.00006))&gt;0, ((-1.4125-G39^0.5)/(2*0.00006)), ((-1.4125+G39^0.5)/(2*0.00006)))</f>
        <v>2205.5920731027318</v>
      </c>
      <c r="G39" s="17">
        <f>1.4125^2+4*0.00006*(54.78+F19)</f>
        <v>2.8129027268400706</v>
      </c>
    </row>
    <row r="41" spans="1:14" ht="15.75" thickBot="1" x14ac:dyDescent="0.3">
      <c r="A41" s="56" t="s">
        <v>52</v>
      </c>
      <c r="B41" s="57"/>
      <c r="C41" s="57"/>
      <c r="D41" s="57"/>
      <c r="E41" s="57"/>
      <c r="F41" s="57"/>
      <c r="G41" s="58"/>
    </row>
    <row r="42" spans="1:14" x14ac:dyDescent="0.25">
      <c r="A42" s="22" t="s">
        <v>20</v>
      </c>
      <c r="B42" s="20" t="s">
        <v>38</v>
      </c>
      <c r="C42" s="13" t="s">
        <v>36</v>
      </c>
      <c r="D42" s="14" t="s">
        <v>34</v>
      </c>
      <c r="E42" s="12" t="s">
        <v>38</v>
      </c>
      <c r="F42" s="13" t="s">
        <v>37</v>
      </c>
      <c r="G42" s="14" t="s">
        <v>35</v>
      </c>
    </row>
    <row r="43" spans="1:14" ht="17.25" x14ac:dyDescent="0.25">
      <c r="A43" s="23">
        <v>0</v>
      </c>
      <c r="B43" s="11" t="s">
        <v>22</v>
      </c>
      <c r="C43" s="10">
        <f>IF(((-1.1099-D43^0.5)/(2*0.0004))&gt;0, ((-1.1099-D43^0.5)/(2*0.0004)), ((-1.1099+D43^0.5)/(2*0.0004)))</f>
        <v>1904.8239766156321</v>
      </c>
      <c r="D43" s="15">
        <f>1.3365^2-4*0.0004*(94.677-F23)</f>
        <v>6.9366874250425719</v>
      </c>
      <c r="E43" s="18" t="s">
        <v>28</v>
      </c>
      <c r="F43" s="10">
        <f>IF(((-1.1732-G43^0.5)/(2*0.0003))&gt;0, ((-1.1732-G43^0.5)/(2*0.0003)), ((-1.1732+G43^0.5)/(2*0.0003)))</f>
        <v>1879.5365113658499</v>
      </c>
      <c r="G43" s="15">
        <f>1.1732^2-4*0.0003*(48.842-F23)</f>
        <v>5.2942416212819285</v>
      </c>
    </row>
    <row r="44" spans="1:14" ht="17.25" x14ac:dyDescent="0.25">
      <c r="A44" s="23">
        <v>20</v>
      </c>
      <c r="B44" s="11" t="s">
        <v>23</v>
      </c>
      <c r="C44" s="10">
        <f>IF(((-0.7324-D44^0.5)/(2*0.0004))&gt;0, ((-0.7324-D44^0.5)/(2*0.0004)), ((-0.7324+D44^0.5)/(2*0.0004)))</f>
        <v>1957.1458119656897</v>
      </c>
      <c r="D44" s="15">
        <f>0.7324^2-4*0.0004*(348.13-F23)</f>
        <v>5.2813401350425719</v>
      </c>
      <c r="E44" s="18" t="s">
        <v>29</v>
      </c>
      <c r="F44" s="10">
        <f>IF(((-0.8786-G44^0.5)/(2*0.0003))&gt;0, ((-0.8786-G44^0.5)/(2*0.0003)), ((-0.8786+G44^0.5)/(2*0.0003)))</f>
        <v>2042.6754195000271</v>
      </c>
      <c r="G44" s="15">
        <f>0.8786^2-4*0.0003*(267.26-F23)</f>
        <v>4.4276797412819286</v>
      </c>
    </row>
    <row r="45" spans="1:14" ht="17.25" x14ac:dyDescent="0.25">
      <c r="A45" s="23">
        <v>40</v>
      </c>
      <c r="B45" s="11" t="s">
        <v>24</v>
      </c>
      <c r="C45" s="10">
        <f>IF(((-1.0053-D45^0.5)/(2*0.0003))&gt;0, ((-1.0053-D45^0.5)/(2*0.0003)), ((-1.0053+D45^0.5)/(2*0.0003)))</f>
        <v>1957.57562973009</v>
      </c>
      <c r="D45" s="15">
        <f>1.0053^2-4*0.0003*(196.13-F23)</f>
        <v>4.7517258712819288</v>
      </c>
      <c r="E45" s="18" t="s">
        <v>30</v>
      </c>
      <c r="F45" s="10">
        <f>IF(((-1.042-G45^0.5)/(2*0.0003))&gt;0, ((-1.042-G45^0.5)/(2*0.0003)), ((-1.042+G45^0.5)/(2*0.0003)))</f>
        <v>1935.1152884313119</v>
      </c>
      <c r="G45" s="15">
        <f>1.042^2-4*0.0003*(173.92-F23)</f>
        <v>4.8535137812819285</v>
      </c>
    </row>
    <row r="46" spans="1:14" ht="17.25" x14ac:dyDescent="0.25">
      <c r="A46" s="23">
        <v>60</v>
      </c>
      <c r="B46" s="11" t="s">
        <v>25</v>
      </c>
      <c r="C46" s="10">
        <f>IF(((-1.0624-D46^0.5)/(2*0.0002))&gt;0, ((-1.0624-D46^0.5)/(2*0.0002)), ((-1.0624+D46^0.5)/(2*0.0002)))</f>
        <v>2121.2684058997606</v>
      </c>
      <c r="D46" s="15">
        <f>1.0624^2-4*0.0002*(160.12-F23)</f>
        <v>3.6515669475212862</v>
      </c>
      <c r="E46" s="18" t="s">
        <v>31</v>
      </c>
      <c r="F46" s="10">
        <f>IF(((-1.2683-G46^0.5)/(2*0.0002))&gt;0, ((-1.2683-G46^0.5)/(2*0.0002)), ((-1.2683+G46^0.5)/(2*0.0002)))</f>
        <v>1969.2313214162593</v>
      </c>
      <c r="G46" s="15">
        <f>1.2683^2-4*0.0002*(40.561-F23)</f>
        <v>4.2271052775212858</v>
      </c>
    </row>
    <row r="47" spans="1:14" ht="17.25" x14ac:dyDescent="0.25">
      <c r="A47" s="23">
        <v>80</v>
      </c>
      <c r="B47" s="11" t="s">
        <v>26</v>
      </c>
      <c r="C47" s="10">
        <f>IF(((-1.2512-D47^0.5)/(2*0.0001))&gt;0, ((-1.2512-D47^0.5)/(2*0.0001)), ((-1.2512+D47^0.5)/(2*0.0001)))</f>
        <v>2218.7230541190006</v>
      </c>
      <c r="D47" s="15">
        <f>1.2512^2-4*0.0001*(45.372-F23)</f>
        <v>2.8728372337606434</v>
      </c>
      <c r="E47" s="18" t="s">
        <v>32</v>
      </c>
      <c r="F47" s="10">
        <f>IF(((-1.3554-G47^0.5)/(2*0.0001))&gt;0, ((-1.3554-G47^0.5)/(2*0.0001)), ((-1.3554+G47^0.5)/(2*0.0001)))</f>
        <v>2124.9376454801159</v>
      </c>
      <c r="G47" s="15">
        <f>1.3554^2+4*0.0001*(17.965+F23)</f>
        <v>3.1697797537606429</v>
      </c>
    </row>
    <row r="48" spans="1:14" ht="18" thickBot="1" x14ac:dyDescent="0.3">
      <c r="A48" s="24">
        <v>100</v>
      </c>
      <c r="B48" s="21" t="s">
        <v>27</v>
      </c>
      <c r="C48" s="16">
        <f>IF(((-1.3387-D48^0.5)/(2*0.00008))&gt;0, ((-1.3387-D48^0.5)/(2*0.00008)), ((-1.3387+D48^0.5)/(2*0.00008)))</f>
        <v>2187.9768853011433</v>
      </c>
      <c r="D48" s="17">
        <f>1.3387^2-4*0.00008*(1.6874-F23)</f>
        <v>2.8519653970085144</v>
      </c>
      <c r="E48" s="19" t="s">
        <v>33</v>
      </c>
      <c r="F48" s="16">
        <f>IF(((-1.4125-G48^0.5)/(2*0.00006))&gt;0, ((-1.4125-G48^0.5)/(2*0.00006)), ((-1.4125+G48^0.5)/(2*0.00006)))</f>
        <v>2182.4473597917745</v>
      </c>
      <c r="G48" s="17">
        <f>1.4125^2+4*0.00006*(54.78+F23)</f>
        <v>2.8035942062563861</v>
      </c>
    </row>
    <row r="52" spans="1:7" ht="15.75" thickBot="1" x14ac:dyDescent="0.3">
      <c r="A52" s="56" t="s">
        <v>51</v>
      </c>
      <c r="B52" s="57"/>
      <c r="C52" s="57"/>
      <c r="D52" s="57"/>
      <c r="E52" s="57"/>
      <c r="F52" s="57"/>
      <c r="G52" s="58"/>
    </row>
    <row r="53" spans="1:7" x14ac:dyDescent="0.25">
      <c r="A53" s="22" t="s">
        <v>20</v>
      </c>
      <c r="B53" s="20" t="s">
        <v>38</v>
      </c>
      <c r="C53" s="13" t="s">
        <v>36</v>
      </c>
      <c r="D53" s="14" t="s">
        <v>34</v>
      </c>
      <c r="E53" s="12" t="s">
        <v>38</v>
      </c>
      <c r="F53" s="13" t="s">
        <v>37</v>
      </c>
      <c r="G53" s="14" t="s">
        <v>35</v>
      </c>
    </row>
    <row r="54" spans="1:7" ht="17.25" x14ac:dyDescent="0.25">
      <c r="A54" s="27">
        <v>0</v>
      </c>
      <c r="B54" s="3" t="s">
        <v>39</v>
      </c>
      <c r="C54" s="10">
        <f>IF(((-1.5059-D54^0.5)/(2*0.0001))&gt;0, ((-1.5059-D54^0.5)/(2*0.0001)), ((-1.5059+D54^0.5)/(2*0.0001)))</f>
        <v>1924.1998589063624</v>
      </c>
      <c r="D54" s="29">
        <f>1.5059^2+4*0.0001*(15.985+F20)</f>
        <v>3.574897640891447</v>
      </c>
      <c r="E54" s="3" t="s">
        <v>44</v>
      </c>
      <c r="F54" s="10">
        <f>IF(((-1.5148-G54^0.5)/(2*0.00009))&gt;0, ((-1.5148-G54^0.5)/(2*0.00009)), ((-1.5148+G54^0.5)/(2*0.00009)))</f>
        <v>1952.0263199116212</v>
      </c>
      <c r="G54" s="15">
        <f>1.5148^2+4*0.00009*(47.944+F20)</f>
        <v>3.4825708278023022</v>
      </c>
    </row>
    <row r="55" spans="1:7" ht="17.25" x14ac:dyDescent="0.25">
      <c r="A55" s="27">
        <v>20</v>
      </c>
      <c r="B55" s="3" t="s">
        <v>40</v>
      </c>
      <c r="C55" s="10">
        <f>IF(((-1.6514-D55^0.5)/(2*0.00005))&gt;0, ((-1.6514-D55^0.5)/(2*0.00005)), ((-1.6514+D55^0.5)/(2*0.00005)))</f>
        <v>1933.1525592589037</v>
      </c>
      <c r="D55" s="29">
        <f>1.6514^2+4*0.00005*(127.34+F20)</f>
        <v>3.4029743754457233</v>
      </c>
      <c r="E55" s="3" t="s">
        <v>45</v>
      </c>
      <c r="F55" s="10">
        <f>IF(((-1.506-G55^0.5)/(2*0.00008))&gt;0, ((-1.506-G55^0.5)/(2*0.00008)), ((-1.506+G55^0.5)/(2*0.00008)))</f>
        <v>1986.4942413950591</v>
      </c>
      <c r="G55" s="15">
        <f>1.506^2+4*0.00008*(55.431+F20)</f>
        <v>3.3263889847131578</v>
      </c>
    </row>
    <row r="56" spans="1:7" ht="17.25" x14ac:dyDescent="0.25">
      <c r="A56" s="27">
        <v>40</v>
      </c>
      <c r="B56" s="3" t="s">
        <v>41</v>
      </c>
      <c r="C56" s="10">
        <f>IF(((-1.6632-D56^0.5)/(2*0.00003))&gt;0, ((-1.6632-D56^0.5)/(2*0.00003)), ((-1.6632+D56^0.5)/(2*0.00003)))</f>
        <v>1974.4181495606008</v>
      </c>
      <c r="D56" s="29">
        <f>1.6632^2+4*0.00003*(148.88+F20)</f>
        <v>3.1743304892674344</v>
      </c>
      <c r="E56" s="3" t="s">
        <v>46</v>
      </c>
      <c r="F56" s="10">
        <f>IF(((-1.5319-G56^0.5)/(2*0.00006))&gt;0, ((-1.5319-G56^0.5)/(2*0.00006)), ((-1.5319+G56^0.5)/(2*0.00006)))</f>
        <v>2017.4884172607487</v>
      </c>
      <c r="G56" s="15">
        <f>1.5319^2+4*0.00006*(82.884+F20)</f>
        <v>3.1470710685348684</v>
      </c>
    </row>
    <row r="57" spans="1:7" ht="17.25" x14ac:dyDescent="0.25">
      <c r="A57" s="27">
        <v>60</v>
      </c>
      <c r="B57" s="3" t="s">
        <v>42</v>
      </c>
      <c r="C57" s="10">
        <f>IF(((-1.4516-D57^0.5)/(2*0.00008))&gt;0, ((-1.4516-D57^0.5)/(2*0.00008)), ((-1.4516+D57^0.5)/(2*0.00008)))</f>
        <v>2040.1558353688674</v>
      </c>
      <c r="D57" s="29">
        <f>1.4516^2+4*0.00008*(42.547+F20)</f>
        <v>3.1613726647131579</v>
      </c>
      <c r="E57" s="3" t="s">
        <v>47</v>
      </c>
      <c r="F57" s="10">
        <f>IF(((-1.5144-G57^0.5)/(2*0.00005))&gt;0, ((-1.5144-G57^0.5)/(2*0.00005)), ((-1.5144+G57^0.5)/(2*0.00005)))</f>
        <v>2064.6064963021436</v>
      </c>
      <c r="G57" s="15">
        <f>1.5144^2+4*0.00005*(87.848+F20)</f>
        <v>2.9613613754457235</v>
      </c>
    </row>
    <row r="58" spans="1:7" ht="17.25" x14ac:dyDescent="0.25">
      <c r="A58" s="27">
        <v>80</v>
      </c>
      <c r="B58" s="3" t="s">
        <v>43</v>
      </c>
      <c r="C58" s="10">
        <f>IF(((-1.4041-D58^0.5)/(2*0.00008))&gt;0, ((-1.4041-D58^0.5)/(2*0.00008)), ((-1.4041+D58^0.5)/(2*0.00008)))</f>
        <v>2091.0934607857921</v>
      </c>
      <c r="D58" s="29">
        <f>1.4041^2+4*0.00008*(33.996+F20)</f>
        <v>3.0229905947131575</v>
      </c>
      <c r="E58" s="3" t="s">
        <v>48</v>
      </c>
      <c r="F58" s="10">
        <f>IF(((-1.5188-G58^0.5)/(2*0.00004))&gt;0, ((-1.5188-G58^0.5)/(2*0.00004)), ((-1.5188+G58^0.5)/(2*0.00004)))</f>
        <v>2093.5205109541635</v>
      </c>
      <c r="G58" s="15">
        <f>1.5188^2+4*0.00004*(103.03+F20)</f>
        <v>2.8435457723565785</v>
      </c>
    </row>
    <row r="59" spans="1:7" ht="18" thickBot="1" x14ac:dyDescent="0.3">
      <c r="A59" s="28">
        <v>100</v>
      </c>
      <c r="B59" s="3" t="s">
        <v>27</v>
      </c>
      <c r="C59" s="16">
        <f>IF(((-1.3387-D59^0.5)/(2*0.00008))&gt;0, ((-1.3387-D59^0.5)/(2*0.00008)), ((-1.3387+D59^0.5)/(2*0.00008)))</f>
        <v>2151.3249758030233</v>
      </c>
      <c r="D59" s="30">
        <f>1.3387^2-4*0.00008*(1.6874-F20)</f>
        <v>2.8321927867131578</v>
      </c>
      <c r="E59" s="3" t="s">
        <v>33</v>
      </c>
      <c r="F59" s="16">
        <f>IF(((-1.4125-G59^0.5)/(2*0.00006))&gt;0, ((-1.4125-G59^0.5)/(2*0.00006)), ((-1.4125+G59^0.5)/(2*0.00006)))</f>
        <v>2145.4958754865952</v>
      </c>
      <c r="G59" s="17">
        <f>1.4125^2+4*0.00006*(54.78+F20)</f>
        <v>2.7887647485348683</v>
      </c>
    </row>
    <row r="61" spans="1:7" ht="15.75" thickBot="1" x14ac:dyDescent="0.3">
      <c r="A61" s="56" t="s">
        <v>53</v>
      </c>
      <c r="B61" s="57"/>
      <c r="C61" s="57"/>
      <c r="D61" s="57"/>
      <c r="E61" s="57"/>
      <c r="F61" s="57"/>
      <c r="G61" s="58"/>
    </row>
    <row r="62" spans="1:7" x14ac:dyDescent="0.25">
      <c r="A62" s="22" t="s">
        <v>20</v>
      </c>
      <c r="B62" s="20" t="s">
        <v>38</v>
      </c>
      <c r="C62" s="13" t="s">
        <v>36</v>
      </c>
      <c r="D62" s="14" t="s">
        <v>34</v>
      </c>
      <c r="E62" s="12" t="s">
        <v>38</v>
      </c>
      <c r="F62" s="13" t="s">
        <v>37</v>
      </c>
      <c r="G62" s="14" t="s">
        <v>35</v>
      </c>
    </row>
    <row r="63" spans="1:7" ht="17.25" x14ac:dyDescent="0.25">
      <c r="A63" s="27">
        <v>0</v>
      </c>
      <c r="B63" s="3" t="s">
        <v>39</v>
      </c>
      <c r="C63" s="10">
        <f>IF(((-1.5059-D63^0.5)/(2*0.0001))&gt;0, ((-1.5059-D63^0.5)/(2*0.0001)), ((-1.5059+D63^0.5)/(2*0.0001)))</f>
        <v>1910.0378115756398</v>
      </c>
      <c r="D63" s="29">
        <f>1.5059^2+4*0.0001*(15.985+F24)</f>
        <v>3.5641949638466492</v>
      </c>
      <c r="E63" s="3" t="s">
        <v>44</v>
      </c>
      <c r="F63" s="10">
        <f>IF(((-1.5148-G63^0.5)/(2*0.00009))&gt;0, ((-1.5148-G63^0.5)/(2*0.00009)), ((-1.5148+G63^0.5)/(2*0.00009)))</f>
        <v>1937.6785942131917</v>
      </c>
      <c r="G63" s="15">
        <f>1.5148^2+4*0.00009*(47.944+F24)</f>
        <v>3.4729384184619843</v>
      </c>
    </row>
    <row r="64" spans="1:7" ht="17.25" x14ac:dyDescent="0.25">
      <c r="A64" s="27">
        <v>20</v>
      </c>
      <c r="B64" s="3" t="s">
        <v>40</v>
      </c>
      <c r="C64" s="10">
        <f>IF(((-1.6514-D64^0.5)/(2*0.00005))&gt;0, ((-1.6514-D64^0.5)/(2*0.00005)), ((-1.6514+D64^0.5)/(2*0.00005)))</f>
        <v>1918.6423415725317</v>
      </c>
      <c r="D64" s="29">
        <f>1.6514^2+4*0.00005*(127.34+F24)</f>
        <v>3.3976230369233247</v>
      </c>
      <c r="E64" s="3" t="s">
        <v>45</v>
      </c>
      <c r="F64" s="10">
        <f>IF(((-1.506-G64^0.5)/(2*0.00008))&gt;0, ((-1.506-G64^0.5)/(2*0.00008)), ((-1.506+G64^0.5)/(2*0.00008)))</f>
        <v>1971.8142550488203</v>
      </c>
      <c r="G64" s="15">
        <f>1.506^2+4*0.00008*(55.431+F24)</f>
        <v>3.3178268430773192</v>
      </c>
    </row>
    <row r="65" spans="1:7" ht="17.25" x14ac:dyDescent="0.25">
      <c r="A65" s="27">
        <v>40</v>
      </c>
      <c r="B65" s="3" t="s">
        <v>41</v>
      </c>
      <c r="C65" s="10">
        <f>IF(((-1.6632-D65^0.5)/(2*0.00003))&gt;0, ((-1.6632-D65^0.5)/(2*0.00003)), ((-1.6632+D65^0.5)/(2*0.00003)))</f>
        <v>1959.3965485691922</v>
      </c>
      <c r="D65" s="29">
        <f>1.6632^2+4*0.00003*(148.88+F24)</f>
        <v>3.171119686153995</v>
      </c>
      <c r="E65" s="3" t="s">
        <v>46</v>
      </c>
      <c r="F65" s="10">
        <f>IF(((-1.5319-G65^0.5)/(2*0.00006))&gt;0, ((-1.5319-G65^0.5)/(2*0.00006)), ((-1.5319+G65^0.5)/(2*0.00006)))</f>
        <v>2002.3980131997205</v>
      </c>
      <c r="G65" s="15">
        <f>1.5319^2+4*0.00006*(82.884+F24)</f>
        <v>3.1406494623079899</v>
      </c>
    </row>
    <row r="66" spans="1:7" ht="17.25" x14ac:dyDescent="0.25">
      <c r="A66" s="27">
        <v>60</v>
      </c>
      <c r="B66" s="3" t="s">
        <v>42</v>
      </c>
      <c r="C66" s="10">
        <f>IF(((-1.4516-D66^0.5)/(2*0.00008))&gt;0, ((-1.4516-D66^0.5)/(2*0.00008)), ((-1.4516+D66^0.5)/(2*0.00008)))</f>
        <v>2025.0970848516486</v>
      </c>
      <c r="D66" s="29">
        <f>1.4516^2+4*0.00008*(42.547+F24)</f>
        <v>3.1528105230773198</v>
      </c>
      <c r="E66" s="3" t="s">
        <v>47</v>
      </c>
      <c r="F66" s="10">
        <f>IF(((-1.5144-G66^0.5)/(2*0.00005))&gt;0, ((-1.5144-G66^0.5)/(2*0.00005)), ((-1.5144+G66^0.5)/(2*0.00005)))</f>
        <v>2049.0510291900318</v>
      </c>
      <c r="G66" s="15">
        <f>1.5144^2+4*0.00005*(87.848+F24)</f>
        <v>2.9560100369233244</v>
      </c>
    </row>
    <row r="67" spans="1:7" ht="17.25" x14ac:dyDescent="0.25">
      <c r="A67" s="27">
        <v>80</v>
      </c>
      <c r="B67" s="3" t="s">
        <v>43</v>
      </c>
      <c r="C67" s="10">
        <f>IF(((-1.4041-D67^0.5)/(2*0.00008))&gt;0, ((-1.4041-D67^0.5)/(2*0.00008)), ((-1.4041+D67^0.5)/(2*0.00008)))</f>
        <v>2075.693419820368</v>
      </c>
      <c r="D67" s="29">
        <f>1.4041^2+4*0.00008*(33.996+F24)</f>
        <v>3.0144284530773193</v>
      </c>
      <c r="E67" s="3" t="s">
        <v>48</v>
      </c>
      <c r="F67" s="10">
        <f>IF(((-1.5188-G67^0.5)/(2*0.00004))&gt;0, ((-1.5188-G67^0.5)/(2*0.00004)), ((-1.5188+G67^0.5)/(2*0.00004)))</f>
        <v>2077.647260385279</v>
      </c>
      <c r="G67" s="15">
        <f>1.5188^2+4*0.00004*(103.03+F24)</f>
        <v>2.8392647015386592</v>
      </c>
    </row>
    <row r="68" spans="1:7" ht="18" thickBot="1" x14ac:dyDescent="0.3">
      <c r="A68" s="28">
        <v>100</v>
      </c>
      <c r="B68" s="3" t="s">
        <v>27</v>
      </c>
      <c r="C68" s="16">
        <f>IF(((-1.3387-D68^0.5)/(2*0.00008))&gt;0, ((-1.3387-D68^0.5)/(2*0.00008)), ((-1.3387+D68^0.5)/(2*0.00008)))</f>
        <v>2135.413896870662</v>
      </c>
      <c r="D68" s="30">
        <f>1.3387^2-4*0.00008*(1.6874-F24)</f>
        <v>2.8236306450773196</v>
      </c>
      <c r="E68" s="3" t="s">
        <v>33</v>
      </c>
      <c r="F68" s="16">
        <f>IF(((-1.4125-G68^0.5)/(2*0.00006))&gt;0, ((-1.4125-G68^0.5)/(2*0.00006)), ((-1.4125+G68^0.5)/(2*0.00006)))</f>
        <v>2129.4642811563717</v>
      </c>
      <c r="G68" s="17">
        <f>1.4125^2+4*0.00006*(54.78+F24)</f>
        <v>2.7823431423079898</v>
      </c>
    </row>
  </sheetData>
  <mergeCells count="7">
    <mergeCell ref="A41:G41"/>
    <mergeCell ref="A52:G52"/>
    <mergeCell ref="A61:G61"/>
    <mergeCell ref="A1:B1"/>
    <mergeCell ref="E1:F1"/>
    <mergeCell ref="G23:G25"/>
    <mergeCell ref="A32:G3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Диана Федотова</dc:creator>
  <cp:lastModifiedBy>Федотова Диана Алексеевна</cp:lastModifiedBy>
  <dcterms:created xsi:type="dcterms:W3CDTF">2015-06-05T18:19:34Z</dcterms:created>
  <dcterms:modified xsi:type="dcterms:W3CDTF">2025-06-04T08:51:18Z</dcterms:modified>
</cp:coreProperties>
</file>